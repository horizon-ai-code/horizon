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_Single" sheetId="1" state="visible" r:id="rId3"/>
    <sheet name="Data_Multi" sheetId="2" state="visible" r:id="rId4"/>
    <sheet name="Comput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<sst xmlns="http://schemas.openxmlformats.org/spreadsheetml/2006/main" count="4518" uniqueCount="88">
  <si>
    <t xml:space="preserve">num</t>
  </si>
  <si>
    <t xml:space="preserve">difficulty</t>
  </si>
  <si>
    <t xml:space="preserve">intent</t>
  </si>
  <si>
    <t xml:space="preserve">exit_status</t>
  </si>
  <si>
    <t xml:space="preserve">status</t>
  </si>
  <si>
    <t xml:space="preserve">phase4_pass</t>
  </si>
  <si>
    <t xml:space="preserve">judge_verdict</t>
  </si>
  <si>
    <t xml:space="preserve">original_cc</t>
  </si>
  <si>
    <t xml:space="preserve">refactored_cc</t>
  </si>
  <si>
    <t xml:space="preserve">cc_delta</t>
  </si>
  <si>
    <t xml:space="preserve">original_mi</t>
  </si>
  <si>
    <t xml:space="preserve">refactored_mi</t>
  </si>
  <si>
    <t xml:space="preserve">mi_delta</t>
  </si>
  <si>
    <t xml:space="preserve">duration_ms</t>
  </si>
  <si>
    <t xml:space="preserve">strategy_iter</t>
  </si>
  <si>
    <t xml:space="preserve">syntax_iter</t>
  </si>
  <si>
    <t xml:space="preserve">code_unchanged</t>
  </si>
  <si>
    <t xml:space="preserve">gpu_peak_mb</t>
  </si>
  <si>
    <t xml:space="preserve">tier1_syntax</t>
  </si>
  <si>
    <t xml:space="preserve">tier2a_cc</t>
  </si>
  <si>
    <t xml:space="preserve">tier2b_boundary</t>
  </si>
  <si>
    <t xml:space="preserve">tier2c_intent_math</t>
  </si>
  <si>
    <t xml:space="preserve">tier3_judge</t>
  </si>
  <si>
    <t xml:space="preserve">gen_steps</t>
  </si>
  <si>
    <t xml:space="preserve">avg_gen_ms</t>
  </si>
  <si>
    <t xml:space="preserve">csr_pass</t>
  </si>
  <si>
    <t xml:space="preserve">ber</t>
  </si>
  <si>
    <t xml:space="preserve">public_passed</t>
  </si>
  <si>
    <t xml:space="preserve">private_passed</t>
  </si>
  <si>
    <t xml:space="preserve">Medium</t>
  </si>
  <si>
    <t xml:space="preserve">DECOMPOSE_CONDITIONAL</t>
  </si>
  <si>
    <t xml:space="preserve">SUCCESS</t>
  </si>
  <si>
    <t xml:space="preserve">PASS</t>
  </si>
  <si>
    <t xml:space="preserve">False</t>
  </si>
  <si>
    <t xml:space="preserve">True</t>
  </si>
  <si>
    <t xml:space="preserve">1.0</t>
  </si>
  <si>
    <t xml:space="preserve">Hard</t>
  </si>
  <si>
    <t xml:space="preserve">0.0</t>
  </si>
  <si>
    <t xml:space="preserve">RENAME_SYMBOL</t>
  </si>
  <si>
    <t xml:space="preserve">EXTRACT_METHOD</t>
  </si>
  <si>
    <t xml:space="preserve">-</t>
  </si>
  <si>
    <t xml:space="preserve">CONSOLIDATE_CONDITIONAL</t>
  </si>
  <si>
    <t xml:space="preserve">Easy</t>
  </si>
  <si>
    <t xml:space="preserve">FLATTEN_CONDITIONAL</t>
  </si>
  <si>
    <t xml:space="preserve">EXTRACT_VARIABLE</t>
  </si>
  <si>
    <t xml:space="preserve">INLINE_METHOD</t>
  </si>
  <si>
    <t xml:space="preserve">SPLIT_LOOP</t>
  </si>
  <si>
    <t xml:space="preserve">INLINE_VARIABLE</t>
  </si>
  <si>
    <t xml:space="preserve">REPLACE_LOOP_WITH_PIPELINE</t>
  </si>
  <si>
    <t xml:space="preserve">NO_CHANGE</t>
  </si>
  <si>
    <t xml:space="preserve">FAIL</t>
  </si>
  <si>
    <t xml:space="preserve">REMOVE_CONTROL_FLAG</t>
  </si>
  <si>
    <t xml:space="preserve">EXTRACT_CONSTANT</t>
  </si>
  <si>
    <t xml:space="preserve">ACCEPT</t>
  </si>
  <si>
    <t xml:space="preserve">ABORT_STRATEGY</t>
  </si>
  <si>
    <t xml:space="preserve">REVISE</t>
  </si>
  <si>
    <t xml:space="preserve">Table 1: Overall CSR</t>
  </si>
  <si>
    <t xml:space="preserve">Metric</t>
  </si>
  <si>
    <t xml:space="preserve">Single</t>
  </si>
  <si>
    <t xml:space="preserve">Multi</t>
  </si>
  <si>
    <t xml:space="preserve">CSR (%)</t>
  </si>
  <si>
    <t xml:space="preserve">Compiled</t>
  </si>
  <si>
    <t xml:space="preserve">Total</t>
  </si>
  <si>
    <t xml:space="preserve">Table 2: Duration Statistics</t>
  </si>
  <si>
    <t xml:space="preserve">Single (7B)</t>
  </si>
  <si>
    <t xml:space="preserve">Multi (3BxN)</t>
  </si>
  <si>
    <t xml:space="preserve">RAW mean (s)</t>
  </si>
  <si>
    <t xml:space="preserve">RAW median (s)</t>
  </si>
  <si>
    <t xml:space="preserve">SUCCESS mean (s)</t>
  </si>
  <si>
    <t xml:space="preserve">Total wall time (s)</t>
  </si>
  <si>
    <t xml:space="preserve">Table 3: Peak GPU Memory</t>
  </si>
  <si>
    <t xml:space="preserve">Mean (MB)</t>
  </si>
  <si>
    <t xml:space="preserve">Median (MB)</t>
  </si>
  <si>
    <t xml:space="preserve">Max (MB)</t>
  </si>
  <si>
    <t xml:space="preserve">Min (MB)</t>
  </si>
  <si>
    <t xml:space="preserve">Table 4: CC Delta</t>
  </si>
  <si>
    <t xml:space="preserve">Mean</t>
  </si>
  <si>
    <t xml:space="preserve">Median</t>
  </si>
  <si>
    <t xml:space="preserve">Max</t>
  </si>
  <si>
    <t xml:space="preserve">Min</t>
  </si>
  <si>
    <t xml:space="preserve">Table 5: MI Delta</t>
  </si>
  <si>
    <t xml:space="preserve">Table 6: BER</t>
  </si>
  <si>
    <t xml:space="preserve">Table 7: Statistical Significance</t>
  </si>
  <si>
    <t xml:space="preserve">Shapiro-Wilk p-value</t>
  </si>
  <si>
    <t xml:space="preserve">Wilcoxon p-value</t>
  </si>
  <si>
    <t xml:space="preserve">Significant (p &lt; 0.05)?</t>
  </si>
  <si>
    <t xml:space="preserve">Duration (RAW)</t>
  </si>
  <si>
    <t xml:space="preserve">GPU Memory (RAW)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</si>
</sst>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0.00"/>
    <numFmt numFmtId="168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  <c r="D2" s="0" t="s">
        <v>31</v>
      </c>
      <c r="E2" s="0" t="s">
        <v>32</v>
      </c>
      <c r="H2" s="0" t="n">
        <v>8</v>
      </c>
      <c r="I2" s="0" t="n">
        <v>9</v>
      </c>
      <c r="J2" s="0" t="n">
        <v>1</v>
      </c>
      <c r="K2" s="0" t="n">
        <v>40.5</v>
      </c>
      <c r="L2" s="0" t="n">
        <v>36.95</v>
      </c>
      <c r="M2" s="0" t="n">
        <v>-3.55</v>
      </c>
      <c r="N2" s="0" t="n">
        <v>20561</v>
      </c>
      <c r="Q2" s="0" t="s">
        <v>33</v>
      </c>
      <c r="R2" s="0" t="n">
        <v>4038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Z2" s="0" t="s">
        <v>34</v>
      </c>
      <c r="AA2" s="0" t="s">
        <v>35</v>
      </c>
      <c r="AB2" s="0" t="n">
        <v>1</v>
      </c>
      <c r="AC2" s="0" t="n">
        <v>0</v>
      </c>
    </row>
    <row r="3" customFormat="false" ht="15" hidden="false" customHeight="false" outlineLevel="0" collapsed="false">
      <c r="A3" s="0" t="n">
        <v>9</v>
      </c>
      <c r="B3" s="0" t="s">
        <v>36</v>
      </c>
      <c r="C3" s="0" t="s">
        <v>30</v>
      </c>
      <c r="D3" s="0" t="s">
        <v>31</v>
      </c>
      <c r="E3" s="0" t="s">
        <v>32</v>
      </c>
      <c r="H3" s="0" t="n">
        <v>12</v>
      </c>
      <c r="I3" s="0" t="n">
        <v>12</v>
      </c>
      <c r="J3" s="0" t="n">
        <v>0</v>
      </c>
      <c r="K3" s="0" t="n">
        <v>28</v>
      </c>
      <c r="L3" s="0" t="n">
        <v>25.98</v>
      </c>
      <c r="M3" s="0" t="n">
        <v>-2.02</v>
      </c>
      <c r="N3" s="0" t="n">
        <v>32080</v>
      </c>
      <c r="Q3" s="0" t="s">
        <v>33</v>
      </c>
      <c r="R3" s="0" t="n">
        <v>4038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Z3" s="0" t="s">
        <v>34</v>
      </c>
      <c r="AA3" s="0" t="s">
        <v>37</v>
      </c>
      <c r="AB3" s="0" t="n">
        <v>0</v>
      </c>
      <c r="AC3" s="0" t="n">
        <v>0</v>
      </c>
    </row>
    <row r="4" customFormat="false" ht="15" hidden="false" customHeight="false" outlineLevel="0" collapsed="false">
      <c r="A4" s="0" t="n">
        <v>18</v>
      </c>
      <c r="B4" s="0" t="s">
        <v>29</v>
      </c>
      <c r="C4" s="0" t="s">
        <v>38</v>
      </c>
      <c r="D4" s="0" t="s">
        <v>31</v>
      </c>
      <c r="E4" s="0" t="s">
        <v>32</v>
      </c>
      <c r="H4" s="0" t="n">
        <v>4</v>
      </c>
      <c r="I4" s="0" t="n">
        <v>4</v>
      </c>
      <c r="J4" s="0" t="n">
        <v>0</v>
      </c>
      <c r="K4" s="0" t="n">
        <v>51.45</v>
      </c>
      <c r="L4" s="0" t="n">
        <v>52.4</v>
      </c>
      <c r="M4" s="0" t="n">
        <v>0.95</v>
      </c>
      <c r="N4" s="0" t="n">
        <v>14047</v>
      </c>
      <c r="Q4" s="0" t="s">
        <v>33</v>
      </c>
      <c r="R4" s="0" t="n">
        <v>4040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Z4" s="0" t="s">
        <v>34</v>
      </c>
      <c r="AA4" s="0" t="s">
        <v>35</v>
      </c>
      <c r="AB4" s="0" t="n">
        <v>1</v>
      </c>
      <c r="AC4" s="0" t="n">
        <v>0</v>
      </c>
    </row>
    <row r="5" customFormat="false" ht="15" hidden="false" customHeight="false" outlineLevel="0" collapsed="false">
      <c r="A5" s="0" t="n">
        <v>23</v>
      </c>
      <c r="B5" s="0" t="s">
        <v>29</v>
      </c>
      <c r="C5" s="0" t="s">
        <v>30</v>
      </c>
      <c r="D5" s="0" t="s">
        <v>31</v>
      </c>
      <c r="E5" s="0" t="s">
        <v>32</v>
      </c>
      <c r="H5" s="0" t="n">
        <v>3</v>
      </c>
      <c r="I5" s="0" t="n">
        <v>3</v>
      </c>
      <c r="J5" s="0" t="n">
        <v>0</v>
      </c>
      <c r="K5" s="0" t="n">
        <v>79.39</v>
      </c>
      <c r="L5" s="0" t="n">
        <v>73.64</v>
      </c>
      <c r="M5" s="0" t="n">
        <v>-5.75</v>
      </c>
      <c r="N5" s="0" t="n">
        <v>7028</v>
      </c>
      <c r="Q5" s="0" t="s">
        <v>33</v>
      </c>
      <c r="R5" s="0" t="n">
        <v>4040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Z5" s="0" t="s">
        <v>34</v>
      </c>
      <c r="AA5" s="0" t="s">
        <v>35</v>
      </c>
      <c r="AB5" s="0" t="n">
        <v>1</v>
      </c>
      <c r="AC5" s="0" t="n">
        <v>0</v>
      </c>
    </row>
    <row r="6" customFormat="false" ht="15" hidden="false" customHeight="false" outlineLevel="0" collapsed="false">
      <c r="A6" s="0" t="n">
        <v>29</v>
      </c>
      <c r="B6" s="0" t="s">
        <v>36</v>
      </c>
      <c r="C6" s="0" t="s">
        <v>30</v>
      </c>
      <c r="D6" s="0" t="s">
        <v>31</v>
      </c>
      <c r="E6" s="0" t="s">
        <v>32</v>
      </c>
      <c r="H6" s="0" t="n">
        <v>11</v>
      </c>
      <c r="I6" s="0" t="n">
        <v>11</v>
      </c>
      <c r="J6" s="0" t="n">
        <v>0</v>
      </c>
      <c r="K6" s="0" t="n">
        <v>31.34</v>
      </c>
      <c r="L6" s="0" t="n">
        <v>28.61</v>
      </c>
      <c r="M6" s="0" t="n">
        <v>-2.73</v>
      </c>
      <c r="N6" s="0" t="n">
        <v>33598</v>
      </c>
      <c r="Q6" s="0" t="s">
        <v>33</v>
      </c>
      <c r="R6" s="0" t="n">
        <v>4040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Z6" s="0" t="s">
        <v>34</v>
      </c>
      <c r="AA6" s="0" t="s">
        <v>37</v>
      </c>
      <c r="AB6" s="0" t="n">
        <v>0</v>
      </c>
      <c r="AC6" s="0" t="n">
        <v>0</v>
      </c>
    </row>
    <row r="7" customFormat="false" ht="15" hidden="false" customHeight="false" outlineLevel="0" collapsed="false">
      <c r="A7" s="0" t="n">
        <v>37</v>
      </c>
      <c r="B7" s="0" t="s">
        <v>29</v>
      </c>
      <c r="C7" s="0" t="s">
        <v>39</v>
      </c>
      <c r="D7" s="0" t="s">
        <v>31</v>
      </c>
      <c r="E7" s="0" t="s">
        <v>32</v>
      </c>
      <c r="H7" s="0" t="n">
        <v>4</v>
      </c>
      <c r="I7" s="0" t="n">
        <v>4</v>
      </c>
      <c r="J7" s="0" t="n">
        <v>0</v>
      </c>
      <c r="K7" s="0" t="n">
        <v>52.48</v>
      </c>
      <c r="L7" s="0" t="n">
        <v>52</v>
      </c>
      <c r="M7" s="0" t="n">
        <v>-0.48</v>
      </c>
      <c r="N7" s="0" t="n">
        <v>16553</v>
      </c>
      <c r="Q7" s="0" t="s">
        <v>33</v>
      </c>
      <c r="R7" s="0" t="n">
        <v>4040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Z7" s="0" t="s">
        <v>33</v>
      </c>
      <c r="AA7" s="0" t="s">
        <v>40</v>
      </c>
      <c r="AB7" s="0" t="n">
        <v>0</v>
      </c>
      <c r="AC7" s="0" t="n">
        <v>0</v>
      </c>
    </row>
    <row r="8" customFormat="false" ht="15" hidden="false" customHeight="false" outlineLevel="0" collapsed="false">
      <c r="A8" s="0" t="n">
        <v>43</v>
      </c>
      <c r="B8" s="0" t="s">
        <v>36</v>
      </c>
      <c r="C8" s="0" t="s">
        <v>30</v>
      </c>
      <c r="D8" s="0" t="s">
        <v>31</v>
      </c>
      <c r="E8" s="0" t="s">
        <v>32</v>
      </c>
      <c r="H8" s="0" t="n">
        <v>10</v>
      </c>
      <c r="I8" s="0" t="n">
        <v>10</v>
      </c>
      <c r="J8" s="0" t="n">
        <v>0</v>
      </c>
      <c r="K8" s="0" t="n">
        <v>43.6</v>
      </c>
      <c r="L8" s="0" t="n">
        <v>39.56</v>
      </c>
      <c r="M8" s="0" t="n">
        <v>-4.04</v>
      </c>
      <c r="N8" s="0" t="n">
        <v>22072</v>
      </c>
      <c r="Q8" s="0" t="s">
        <v>33</v>
      </c>
      <c r="R8" s="0" t="n">
        <v>4040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Z8" s="0" t="s">
        <v>34</v>
      </c>
      <c r="AA8" s="0" t="s">
        <v>37</v>
      </c>
      <c r="AB8" s="0" t="n">
        <v>0</v>
      </c>
      <c r="AC8" s="0" t="n">
        <v>0</v>
      </c>
    </row>
    <row r="9" customFormat="false" ht="15" hidden="false" customHeight="false" outlineLevel="0" collapsed="false">
      <c r="A9" s="0" t="n">
        <v>44</v>
      </c>
      <c r="B9" s="0" t="s">
        <v>29</v>
      </c>
      <c r="C9" s="0" t="s">
        <v>39</v>
      </c>
      <c r="D9" s="0" t="s">
        <v>31</v>
      </c>
      <c r="E9" s="0" t="s">
        <v>32</v>
      </c>
      <c r="H9" s="0" t="n">
        <v>3</v>
      </c>
      <c r="I9" s="0" t="n">
        <v>4</v>
      </c>
      <c r="J9" s="0" t="n">
        <v>1</v>
      </c>
      <c r="K9" s="0" t="n">
        <v>64.86</v>
      </c>
      <c r="L9" s="0" t="n">
        <v>57.24</v>
      </c>
      <c r="M9" s="0" t="n">
        <v>-7.62</v>
      </c>
      <c r="N9" s="0" t="n">
        <v>14048</v>
      </c>
      <c r="Q9" s="0" t="s">
        <v>33</v>
      </c>
      <c r="R9" s="0" t="n">
        <v>4040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Z9" s="0" t="s">
        <v>34</v>
      </c>
      <c r="AA9" s="0" t="s">
        <v>37</v>
      </c>
      <c r="AB9" s="0" t="n">
        <v>0</v>
      </c>
      <c r="AC9" s="0" t="n">
        <v>0</v>
      </c>
    </row>
    <row r="10" customFormat="false" ht="15" hidden="false" customHeight="false" outlineLevel="0" collapsed="false">
      <c r="A10" s="0" t="n">
        <v>54</v>
      </c>
      <c r="B10" s="0" t="s">
        <v>29</v>
      </c>
      <c r="C10" s="0" t="s">
        <v>39</v>
      </c>
      <c r="D10" s="0" t="s">
        <v>31</v>
      </c>
      <c r="E10" s="0" t="s">
        <v>32</v>
      </c>
      <c r="H10" s="0" t="n">
        <v>3</v>
      </c>
      <c r="I10" s="0" t="n">
        <v>4</v>
      </c>
      <c r="J10" s="0" t="n">
        <v>1</v>
      </c>
      <c r="K10" s="0" t="n">
        <v>72.79</v>
      </c>
      <c r="L10" s="0" t="n">
        <v>66.58</v>
      </c>
      <c r="M10" s="0" t="n">
        <v>-6.21</v>
      </c>
      <c r="N10" s="0" t="n">
        <v>11040</v>
      </c>
      <c r="Q10" s="0" t="s">
        <v>33</v>
      </c>
      <c r="R10" s="0" t="n">
        <v>4040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Z10" s="0" t="s">
        <v>34</v>
      </c>
      <c r="AA10" s="0" t="s">
        <v>37</v>
      </c>
      <c r="AB10" s="0" t="n">
        <v>0</v>
      </c>
      <c r="AC10" s="0" t="n">
        <v>0</v>
      </c>
    </row>
    <row r="11" customFormat="false" ht="15" hidden="false" customHeight="false" outlineLevel="0" collapsed="false">
      <c r="A11" s="0" t="n">
        <v>62</v>
      </c>
      <c r="B11" s="0" t="s">
        <v>29</v>
      </c>
      <c r="C11" s="0" t="s">
        <v>41</v>
      </c>
      <c r="D11" s="0" t="s">
        <v>31</v>
      </c>
      <c r="E11" s="0" t="s">
        <v>32</v>
      </c>
      <c r="H11" s="0" t="n">
        <v>11</v>
      </c>
      <c r="I11" s="0" t="n">
        <v>14</v>
      </c>
      <c r="J11" s="0" t="n">
        <v>3</v>
      </c>
      <c r="K11" s="0" t="n">
        <v>37.98</v>
      </c>
      <c r="L11" s="0" t="n">
        <v>41.76</v>
      </c>
      <c r="M11" s="0" t="n">
        <v>3.78</v>
      </c>
      <c r="N11" s="0" t="n">
        <v>27584</v>
      </c>
      <c r="Q11" s="0" t="s">
        <v>33</v>
      </c>
      <c r="R11" s="0" t="n">
        <v>4040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Z11" s="0" t="s">
        <v>34</v>
      </c>
      <c r="AA11" s="0" t="s">
        <v>37</v>
      </c>
      <c r="AB11" s="0" t="n">
        <v>0</v>
      </c>
      <c r="AC11" s="0" t="n">
        <v>0</v>
      </c>
    </row>
    <row r="12" customFormat="false" ht="15" hidden="false" customHeight="false" outlineLevel="0" collapsed="false">
      <c r="A12" s="0" t="n">
        <v>68</v>
      </c>
      <c r="B12" s="0" t="s">
        <v>42</v>
      </c>
      <c r="C12" s="0" t="s">
        <v>30</v>
      </c>
      <c r="D12" s="0" t="s">
        <v>31</v>
      </c>
      <c r="E12" s="0" t="s">
        <v>32</v>
      </c>
      <c r="H12" s="0" t="n">
        <v>6</v>
      </c>
      <c r="I12" s="0" t="n">
        <v>6</v>
      </c>
      <c r="J12" s="0" t="n">
        <v>0</v>
      </c>
      <c r="K12" s="0" t="n">
        <v>55.18</v>
      </c>
      <c r="L12" s="0" t="n">
        <v>52.43</v>
      </c>
      <c r="M12" s="0" t="n">
        <v>-2.75</v>
      </c>
      <c r="N12" s="0" t="n">
        <v>15547</v>
      </c>
      <c r="Q12" s="0" t="s">
        <v>33</v>
      </c>
      <c r="R12" s="0" t="n">
        <v>4040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Z12" s="0" t="s">
        <v>34</v>
      </c>
      <c r="AA12" s="0" t="s">
        <v>35</v>
      </c>
      <c r="AB12" s="0" t="n">
        <v>1</v>
      </c>
      <c r="AC12" s="0" t="n">
        <v>0</v>
      </c>
    </row>
    <row r="13" customFormat="false" ht="15" hidden="false" customHeight="false" outlineLevel="0" collapsed="false">
      <c r="A13" s="0" t="n">
        <v>71</v>
      </c>
      <c r="B13" s="0" t="s">
        <v>36</v>
      </c>
      <c r="C13" s="0" t="s">
        <v>38</v>
      </c>
      <c r="D13" s="0" t="s">
        <v>31</v>
      </c>
      <c r="E13" s="0" t="s">
        <v>32</v>
      </c>
      <c r="H13" s="0" t="n">
        <v>6</v>
      </c>
      <c r="I13" s="0" t="n">
        <v>6</v>
      </c>
      <c r="J13" s="0" t="n">
        <v>0</v>
      </c>
      <c r="K13" s="0" t="n">
        <v>38.66</v>
      </c>
      <c r="L13" s="0" t="n">
        <v>38.66</v>
      </c>
      <c r="M13" s="0" t="n">
        <v>0</v>
      </c>
      <c r="N13" s="0" t="n">
        <v>26585</v>
      </c>
      <c r="Q13" s="0" t="s">
        <v>33</v>
      </c>
      <c r="R13" s="0" t="n">
        <v>4040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Z13" s="0" t="s">
        <v>34</v>
      </c>
      <c r="AA13" s="0" t="s">
        <v>37</v>
      </c>
      <c r="AB13" s="0" t="n">
        <v>0</v>
      </c>
      <c r="AC13" s="0" t="n">
        <v>0</v>
      </c>
    </row>
    <row r="14" customFormat="false" ht="15" hidden="false" customHeight="false" outlineLevel="0" collapsed="false">
      <c r="A14" s="0" t="n">
        <v>72</v>
      </c>
      <c r="B14" s="0" t="s">
        <v>29</v>
      </c>
      <c r="C14" s="0" t="s">
        <v>43</v>
      </c>
      <c r="D14" s="0" t="s">
        <v>31</v>
      </c>
      <c r="E14" s="0" t="s">
        <v>32</v>
      </c>
      <c r="H14" s="0" t="n">
        <v>14</v>
      </c>
      <c r="I14" s="0" t="n">
        <v>17</v>
      </c>
      <c r="J14" s="0" t="n">
        <v>3</v>
      </c>
      <c r="K14" s="0" t="n">
        <v>34.58</v>
      </c>
      <c r="L14" s="0" t="n">
        <v>24.69</v>
      </c>
      <c r="M14" s="0" t="n">
        <v>-9.89</v>
      </c>
      <c r="N14" s="0" t="n">
        <v>41114</v>
      </c>
      <c r="Q14" s="0" t="s">
        <v>33</v>
      </c>
      <c r="R14" s="0" t="n">
        <v>4040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Z14" s="0" t="s">
        <v>33</v>
      </c>
      <c r="AA14" s="0" t="s">
        <v>40</v>
      </c>
      <c r="AB14" s="0" t="n">
        <v>0</v>
      </c>
      <c r="AC14" s="0" t="n">
        <v>0</v>
      </c>
    </row>
    <row r="15" customFormat="false" ht="15" hidden="false" customHeight="false" outlineLevel="0" collapsed="false">
      <c r="A15" s="0" t="n">
        <v>74</v>
      </c>
      <c r="B15" s="0" t="s">
        <v>29</v>
      </c>
      <c r="C15" s="0" t="s">
        <v>44</v>
      </c>
      <c r="D15" s="0" t="s">
        <v>31</v>
      </c>
      <c r="E15" s="0" t="s">
        <v>32</v>
      </c>
      <c r="H15" s="0" t="n">
        <v>4</v>
      </c>
      <c r="I15" s="0" t="n">
        <v>4</v>
      </c>
      <c r="J15" s="0" t="n">
        <v>0</v>
      </c>
      <c r="K15" s="0" t="n">
        <v>56.35</v>
      </c>
      <c r="L15" s="0" t="n">
        <v>55.25</v>
      </c>
      <c r="M15" s="0" t="n">
        <v>-1.1</v>
      </c>
      <c r="N15" s="0" t="n">
        <v>16550</v>
      </c>
      <c r="Q15" s="0" t="s">
        <v>33</v>
      </c>
      <c r="R15" s="0" t="n">
        <v>4040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Z15" s="0" t="s">
        <v>34</v>
      </c>
      <c r="AA15" s="0" t="s">
        <v>37</v>
      </c>
      <c r="AB15" s="0" t="n">
        <v>0</v>
      </c>
      <c r="AC15" s="0" t="n">
        <v>0</v>
      </c>
    </row>
    <row r="16" customFormat="false" ht="15" hidden="false" customHeight="false" outlineLevel="0" collapsed="false">
      <c r="A16" s="0" t="n">
        <v>76</v>
      </c>
      <c r="B16" s="0" t="s">
        <v>29</v>
      </c>
      <c r="C16" s="0" t="s">
        <v>45</v>
      </c>
      <c r="D16" s="0" t="s">
        <v>31</v>
      </c>
      <c r="E16" s="0" t="s">
        <v>32</v>
      </c>
      <c r="H16" s="0" t="n">
        <v>3</v>
      </c>
      <c r="I16" s="0" t="n">
        <v>3</v>
      </c>
      <c r="J16" s="0" t="n">
        <v>0</v>
      </c>
      <c r="K16" s="0" t="n">
        <v>55.54</v>
      </c>
      <c r="L16" s="0" t="n">
        <v>57.11</v>
      </c>
      <c r="M16" s="0" t="n">
        <v>1.57</v>
      </c>
      <c r="N16" s="0" t="n">
        <v>14545</v>
      </c>
      <c r="Q16" s="0" t="s">
        <v>33</v>
      </c>
      <c r="R16" s="0" t="n">
        <v>4040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Z16" s="0" t="s">
        <v>33</v>
      </c>
      <c r="AA16" s="0" t="s">
        <v>40</v>
      </c>
      <c r="AB16" s="0" t="n">
        <v>0</v>
      </c>
      <c r="AC16" s="0" t="n">
        <v>0</v>
      </c>
    </row>
    <row r="17" customFormat="false" ht="15" hidden="false" customHeight="false" outlineLevel="0" collapsed="false">
      <c r="A17" s="0" t="n">
        <v>80</v>
      </c>
      <c r="B17" s="0" t="s">
        <v>29</v>
      </c>
      <c r="C17" s="0" t="s">
        <v>43</v>
      </c>
      <c r="D17" s="0" t="s">
        <v>31</v>
      </c>
      <c r="E17" s="0" t="s">
        <v>32</v>
      </c>
      <c r="H17" s="0" t="n">
        <v>9</v>
      </c>
      <c r="I17" s="0" t="n">
        <v>10</v>
      </c>
      <c r="J17" s="0" t="n">
        <v>1</v>
      </c>
      <c r="K17" s="0" t="n">
        <v>40.24</v>
      </c>
      <c r="L17" s="0" t="n">
        <v>38.7</v>
      </c>
      <c r="M17" s="0" t="n">
        <v>-1.54</v>
      </c>
      <c r="N17" s="0" t="n">
        <v>22567</v>
      </c>
      <c r="Q17" s="0" t="s">
        <v>33</v>
      </c>
      <c r="R17" s="0" t="n">
        <v>4040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Z17" s="0" t="s">
        <v>34</v>
      </c>
      <c r="AA17" s="0" t="s">
        <v>37</v>
      </c>
      <c r="AB17" s="0" t="n">
        <v>0</v>
      </c>
      <c r="AC17" s="0" t="n">
        <v>0</v>
      </c>
    </row>
    <row r="18" customFormat="false" ht="15" hidden="false" customHeight="false" outlineLevel="0" collapsed="false">
      <c r="A18" s="0" t="n">
        <v>86</v>
      </c>
      <c r="B18" s="0" t="s">
        <v>36</v>
      </c>
      <c r="C18" s="0" t="s">
        <v>45</v>
      </c>
      <c r="D18" s="0" t="s">
        <v>31</v>
      </c>
      <c r="E18" s="0" t="s">
        <v>32</v>
      </c>
      <c r="H18" s="0" t="n">
        <v>8</v>
      </c>
      <c r="I18" s="0" t="n">
        <v>8</v>
      </c>
      <c r="J18" s="0" t="n">
        <v>0</v>
      </c>
      <c r="K18" s="0" t="n">
        <v>45.8</v>
      </c>
      <c r="L18" s="0" t="n">
        <v>44.71</v>
      </c>
      <c r="M18" s="0" t="n">
        <v>-1.09</v>
      </c>
      <c r="N18" s="0" t="n">
        <v>24574</v>
      </c>
      <c r="Q18" s="0" t="s">
        <v>33</v>
      </c>
      <c r="R18" s="0" t="n">
        <v>4040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Z18" s="0" t="s">
        <v>33</v>
      </c>
      <c r="AA18" s="0" t="s">
        <v>40</v>
      </c>
      <c r="AB18" s="0" t="n">
        <v>0</v>
      </c>
      <c r="AC18" s="0" t="n">
        <v>0</v>
      </c>
    </row>
    <row r="19" customFormat="false" ht="15" hidden="false" customHeight="false" outlineLevel="0" collapsed="false">
      <c r="A19" s="0" t="n">
        <v>88</v>
      </c>
      <c r="B19" s="0" t="s">
        <v>29</v>
      </c>
      <c r="C19" s="0" t="s">
        <v>39</v>
      </c>
      <c r="D19" s="0" t="s">
        <v>31</v>
      </c>
      <c r="E19" s="0" t="s">
        <v>32</v>
      </c>
      <c r="H19" s="0" t="n">
        <v>2</v>
      </c>
      <c r="I19" s="0" t="n">
        <v>2</v>
      </c>
      <c r="J19" s="0" t="n">
        <v>0</v>
      </c>
      <c r="K19" s="0" t="n">
        <v>73.58</v>
      </c>
      <c r="L19" s="0" t="n">
        <v>66.92</v>
      </c>
      <c r="M19" s="0" t="n">
        <v>-6.66</v>
      </c>
      <c r="N19" s="0" t="n">
        <v>11042</v>
      </c>
      <c r="Q19" s="0" t="s">
        <v>33</v>
      </c>
      <c r="R19" s="0" t="n">
        <v>4040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Z19" s="0" t="s">
        <v>34</v>
      </c>
      <c r="AA19" s="0" t="s">
        <v>35</v>
      </c>
      <c r="AB19" s="0" t="n">
        <v>1</v>
      </c>
      <c r="AC19" s="0" t="n">
        <v>0</v>
      </c>
    </row>
    <row r="20" customFormat="false" ht="15" hidden="false" customHeight="false" outlineLevel="0" collapsed="false">
      <c r="A20" s="0" t="n">
        <v>96</v>
      </c>
      <c r="B20" s="0" t="s">
        <v>29</v>
      </c>
      <c r="C20" s="0" t="s">
        <v>41</v>
      </c>
      <c r="D20" s="0" t="s">
        <v>31</v>
      </c>
      <c r="E20" s="0" t="s">
        <v>32</v>
      </c>
      <c r="H20" s="0" t="n">
        <v>11</v>
      </c>
      <c r="I20" s="0" t="n">
        <v>11</v>
      </c>
      <c r="J20" s="0" t="n">
        <v>0</v>
      </c>
      <c r="K20" s="0" t="n">
        <v>30.44</v>
      </c>
      <c r="L20" s="0" t="n">
        <v>34.5</v>
      </c>
      <c r="M20" s="0" t="n">
        <v>4.06</v>
      </c>
      <c r="N20" s="0" t="n">
        <v>27076</v>
      </c>
      <c r="Q20" s="0" t="s">
        <v>33</v>
      </c>
      <c r="R20" s="0" t="n">
        <v>4040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Z20" s="0" t="s">
        <v>34</v>
      </c>
      <c r="AA20" s="0" t="s">
        <v>37</v>
      </c>
      <c r="AB20" s="0" t="n">
        <v>0</v>
      </c>
      <c r="AC20" s="0" t="n">
        <v>0</v>
      </c>
    </row>
    <row r="21" customFormat="false" ht="15" hidden="false" customHeight="false" outlineLevel="0" collapsed="false">
      <c r="A21" s="0" t="n">
        <v>98</v>
      </c>
      <c r="B21" s="0" t="s">
        <v>29</v>
      </c>
      <c r="C21" s="0" t="s">
        <v>43</v>
      </c>
      <c r="D21" s="0" t="s">
        <v>31</v>
      </c>
      <c r="E21" s="0" t="s">
        <v>32</v>
      </c>
      <c r="H21" s="0" t="n">
        <v>5</v>
      </c>
      <c r="I21" s="0" t="n">
        <v>5</v>
      </c>
      <c r="J21" s="0" t="n">
        <v>0</v>
      </c>
      <c r="K21" s="0" t="n">
        <v>51.37</v>
      </c>
      <c r="L21" s="0" t="n">
        <v>48.42</v>
      </c>
      <c r="M21" s="0" t="n">
        <v>-2.95</v>
      </c>
      <c r="N21" s="0" t="n">
        <v>18055</v>
      </c>
      <c r="Q21" s="0" t="s">
        <v>33</v>
      </c>
      <c r="R21" s="0" t="n">
        <v>4040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Z21" s="0" t="s">
        <v>34</v>
      </c>
      <c r="AA21" s="0" t="s">
        <v>37</v>
      </c>
      <c r="AB21" s="0" t="n">
        <v>0</v>
      </c>
      <c r="AC21" s="0" t="n">
        <v>0</v>
      </c>
    </row>
    <row r="22" customFormat="false" ht="15" hidden="false" customHeight="false" outlineLevel="0" collapsed="false">
      <c r="A22" s="0" t="n">
        <v>99</v>
      </c>
      <c r="B22" s="0" t="s">
        <v>42</v>
      </c>
      <c r="C22" s="0" t="s">
        <v>30</v>
      </c>
      <c r="D22" s="0" t="s">
        <v>31</v>
      </c>
      <c r="E22" s="0" t="s">
        <v>32</v>
      </c>
      <c r="H22" s="0" t="n">
        <v>7</v>
      </c>
      <c r="I22" s="0" t="n">
        <v>7</v>
      </c>
      <c r="J22" s="0" t="n">
        <v>0</v>
      </c>
      <c r="K22" s="0" t="n">
        <v>54.81</v>
      </c>
      <c r="L22" s="0" t="n">
        <v>52.76</v>
      </c>
      <c r="M22" s="0" t="n">
        <v>-2.05</v>
      </c>
      <c r="N22" s="0" t="n">
        <v>14549</v>
      </c>
      <c r="Q22" s="0" t="s">
        <v>33</v>
      </c>
      <c r="R22" s="0" t="n">
        <v>4040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Z22" s="0" t="s">
        <v>34</v>
      </c>
      <c r="AA22" s="0" t="s">
        <v>37</v>
      </c>
      <c r="AB22" s="0" t="n">
        <v>0</v>
      </c>
      <c r="AC22" s="0" t="n">
        <v>0</v>
      </c>
    </row>
    <row r="23" customFormat="false" ht="15" hidden="false" customHeight="false" outlineLevel="0" collapsed="false">
      <c r="A23" s="0" t="n">
        <v>106</v>
      </c>
      <c r="B23" s="0" t="s">
        <v>29</v>
      </c>
      <c r="C23" s="0" t="s">
        <v>46</v>
      </c>
      <c r="D23" s="0" t="s">
        <v>31</v>
      </c>
      <c r="E23" s="0" t="s">
        <v>32</v>
      </c>
      <c r="H23" s="0" t="n">
        <v>6</v>
      </c>
      <c r="I23" s="0" t="n">
        <v>7</v>
      </c>
      <c r="J23" s="0" t="n">
        <v>1</v>
      </c>
      <c r="K23" s="0" t="n">
        <v>43.72</v>
      </c>
      <c r="L23" s="0" t="n">
        <v>42.35</v>
      </c>
      <c r="M23" s="0" t="n">
        <v>-1.37</v>
      </c>
      <c r="N23" s="0" t="n">
        <v>23571</v>
      </c>
      <c r="Q23" s="0" t="s">
        <v>33</v>
      </c>
      <c r="R23" s="0" t="n">
        <v>4040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Z23" s="0" t="s">
        <v>33</v>
      </c>
      <c r="AA23" s="0" t="s">
        <v>40</v>
      </c>
      <c r="AB23" s="0" t="n">
        <v>0</v>
      </c>
      <c r="AC23" s="0" t="n">
        <v>0</v>
      </c>
    </row>
    <row r="24" customFormat="false" ht="15" hidden="false" customHeight="false" outlineLevel="0" collapsed="false">
      <c r="A24" s="0" t="n">
        <v>110</v>
      </c>
      <c r="B24" s="0" t="s">
        <v>42</v>
      </c>
      <c r="C24" s="0" t="s">
        <v>39</v>
      </c>
      <c r="D24" s="0" t="s">
        <v>31</v>
      </c>
      <c r="E24" s="0" t="s">
        <v>32</v>
      </c>
      <c r="H24" s="0" t="n">
        <v>4</v>
      </c>
      <c r="I24" s="0" t="n">
        <v>4</v>
      </c>
      <c r="J24" s="0" t="n">
        <v>0</v>
      </c>
      <c r="K24" s="0" t="n">
        <v>74</v>
      </c>
      <c r="L24" s="0" t="n">
        <v>63.46</v>
      </c>
      <c r="M24" s="0" t="n">
        <v>-10.54</v>
      </c>
      <c r="N24" s="0" t="n">
        <v>13040</v>
      </c>
      <c r="Q24" s="0" t="s">
        <v>33</v>
      </c>
      <c r="R24" s="0" t="n">
        <v>4040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Z24" s="0" t="s">
        <v>34</v>
      </c>
      <c r="AA24" s="0" t="s">
        <v>37</v>
      </c>
      <c r="AB24" s="0" t="n">
        <v>0</v>
      </c>
      <c r="AC24" s="0" t="n">
        <v>0</v>
      </c>
    </row>
    <row r="25" customFormat="false" ht="15" hidden="false" customHeight="false" outlineLevel="0" collapsed="false">
      <c r="A25" s="0" t="n">
        <v>121</v>
      </c>
      <c r="B25" s="0" t="s">
        <v>29</v>
      </c>
      <c r="C25" s="0" t="s">
        <v>39</v>
      </c>
      <c r="D25" s="0" t="s">
        <v>31</v>
      </c>
      <c r="E25" s="0" t="s">
        <v>32</v>
      </c>
      <c r="H25" s="0" t="n">
        <v>3</v>
      </c>
      <c r="I25" s="0" t="n">
        <v>3</v>
      </c>
      <c r="J25" s="0" t="n">
        <v>0</v>
      </c>
      <c r="K25" s="0" t="n">
        <v>69.83</v>
      </c>
      <c r="L25" s="0" t="n">
        <v>63.37</v>
      </c>
      <c r="M25" s="0" t="n">
        <v>-6.46</v>
      </c>
      <c r="N25" s="0" t="n">
        <v>11041</v>
      </c>
      <c r="Q25" s="0" t="s">
        <v>33</v>
      </c>
      <c r="R25" s="0" t="n">
        <v>4040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Z25" s="0" t="s">
        <v>34</v>
      </c>
      <c r="AA25" s="0" t="s">
        <v>37</v>
      </c>
      <c r="AB25" s="0" t="n">
        <v>0</v>
      </c>
      <c r="AC25" s="0" t="n">
        <v>0</v>
      </c>
    </row>
    <row r="26" customFormat="false" ht="15" hidden="false" customHeight="false" outlineLevel="0" collapsed="false">
      <c r="A26" s="0" t="n">
        <v>125</v>
      </c>
      <c r="B26" s="0" t="s">
        <v>36</v>
      </c>
      <c r="C26" s="0" t="s">
        <v>41</v>
      </c>
      <c r="D26" s="0" t="s">
        <v>31</v>
      </c>
      <c r="E26" s="0" t="s">
        <v>32</v>
      </c>
      <c r="H26" s="0" t="n">
        <v>8</v>
      </c>
      <c r="I26" s="0" t="n">
        <v>7</v>
      </c>
      <c r="J26" s="0" t="n">
        <v>-1</v>
      </c>
      <c r="K26" s="0" t="n">
        <v>16.33</v>
      </c>
      <c r="L26" s="0" t="n">
        <v>18.63</v>
      </c>
      <c r="M26" s="0" t="n">
        <v>2.3</v>
      </c>
      <c r="N26" s="0" t="n">
        <v>52643</v>
      </c>
      <c r="Q26" s="0" t="s">
        <v>33</v>
      </c>
      <c r="R26" s="0" t="n">
        <v>4054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Z26" s="0" t="s">
        <v>34</v>
      </c>
      <c r="AA26" s="0" t="s">
        <v>37</v>
      </c>
      <c r="AB26" s="0" t="n">
        <v>0</v>
      </c>
      <c r="AC26" s="0" t="n">
        <v>0</v>
      </c>
    </row>
    <row r="27" customFormat="false" ht="15" hidden="false" customHeight="false" outlineLevel="0" collapsed="false">
      <c r="A27" s="0" t="n">
        <v>131</v>
      </c>
      <c r="B27" s="0" t="s">
        <v>36</v>
      </c>
      <c r="C27" s="0" t="s">
        <v>30</v>
      </c>
      <c r="D27" s="0" t="s">
        <v>31</v>
      </c>
      <c r="E27" s="0" t="s">
        <v>32</v>
      </c>
      <c r="H27" s="0" t="n">
        <v>7</v>
      </c>
      <c r="I27" s="0" t="n">
        <v>7</v>
      </c>
      <c r="J27" s="0" t="n">
        <v>0</v>
      </c>
      <c r="K27" s="0" t="n">
        <v>45.23</v>
      </c>
      <c r="L27" s="0" t="n">
        <v>41.17</v>
      </c>
      <c r="M27" s="0" t="n">
        <v>-4.06</v>
      </c>
      <c r="N27" s="0" t="n">
        <v>21566</v>
      </c>
      <c r="Q27" s="0" t="s">
        <v>33</v>
      </c>
      <c r="R27" s="0" t="n">
        <v>4054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Z27" s="0" t="s">
        <v>34</v>
      </c>
      <c r="AA27" s="0" t="s">
        <v>37</v>
      </c>
      <c r="AB27" s="0" t="n">
        <v>0</v>
      </c>
      <c r="AC27" s="0" t="n">
        <v>0</v>
      </c>
    </row>
    <row r="28" customFormat="false" ht="15" hidden="false" customHeight="false" outlineLevel="0" collapsed="false">
      <c r="A28" s="0" t="n">
        <v>141</v>
      </c>
      <c r="B28" s="0" t="s">
        <v>29</v>
      </c>
      <c r="C28" s="0" t="s">
        <v>30</v>
      </c>
      <c r="D28" s="0" t="s">
        <v>31</v>
      </c>
      <c r="E28" s="0" t="s">
        <v>32</v>
      </c>
      <c r="H28" s="0" t="n">
        <v>5</v>
      </c>
      <c r="I28" s="0" t="n">
        <v>6</v>
      </c>
      <c r="J28" s="0" t="n">
        <v>1</v>
      </c>
      <c r="K28" s="0" t="n">
        <v>53.47</v>
      </c>
      <c r="L28" s="0" t="n">
        <v>46.13</v>
      </c>
      <c r="M28" s="0" t="n">
        <v>-7.34</v>
      </c>
      <c r="N28" s="0" t="n">
        <v>17058</v>
      </c>
      <c r="Q28" s="0" t="s">
        <v>33</v>
      </c>
      <c r="R28" s="0" t="n">
        <v>4054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Z28" s="0" t="s">
        <v>34</v>
      </c>
      <c r="AA28" s="0" t="s">
        <v>37</v>
      </c>
      <c r="AB28" s="0" t="n">
        <v>0</v>
      </c>
      <c r="AC28" s="0" t="n">
        <v>0</v>
      </c>
    </row>
    <row r="29" customFormat="false" ht="15" hidden="false" customHeight="false" outlineLevel="0" collapsed="false">
      <c r="A29" s="0" t="n">
        <v>144</v>
      </c>
      <c r="B29" s="0" t="s">
        <v>42</v>
      </c>
      <c r="C29" s="0" t="s">
        <v>38</v>
      </c>
      <c r="D29" s="0" t="s">
        <v>31</v>
      </c>
      <c r="E29" s="0" t="s">
        <v>32</v>
      </c>
      <c r="H29" s="0" t="n">
        <v>5</v>
      </c>
      <c r="I29" s="0" t="n">
        <v>5</v>
      </c>
      <c r="J29" s="0" t="n">
        <v>0</v>
      </c>
      <c r="K29" s="0" t="n">
        <v>51.64</v>
      </c>
      <c r="L29" s="0" t="n">
        <v>52.59</v>
      </c>
      <c r="M29" s="0" t="n">
        <v>0.95</v>
      </c>
      <c r="N29" s="0" t="n">
        <v>17560</v>
      </c>
      <c r="Q29" s="0" t="s">
        <v>33</v>
      </c>
      <c r="R29" s="0" t="n">
        <v>4054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Z29" s="0" t="s">
        <v>34</v>
      </c>
      <c r="AA29" s="0" t="s">
        <v>37</v>
      </c>
      <c r="AB29" s="0" t="n">
        <v>0</v>
      </c>
      <c r="AC29" s="0" t="n">
        <v>0</v>
      </c>
    </row>
    <row r="30" customFormat="false" ht="15" hidden="false" customHeight="false" outlineLevel="0" collapsed="false">
      <c r="A30" s="0" t="n">
        <v>146</v>
      </c>
      <c r="B30" s="0" t="s">
        <v>29</v>
      </c>
      <c r="C30" s="0" t="s">
        <v>46</v>
      </c>
      <c r="D30" s="0" t="s">
        <v>31</v>
      </c>
      <c r="E30" s="0" t="s">
        <v>32</v>
      </c>
      <c r="H30" s="0" t="n">
        <v>4</v>
      </c>
      <c r="I30" s="0" t="n">
        <v>3</v>
      </c>
      <c r="J30" s="0" t="n">
        <v>-1</v>
      </c>
      <c r="K30" s="0" t="n">
        <v>56.09</v>
      </c>
      <c r="L30" s="0" t="n">
        <v>48.54</v>
      </c>
      <c r="M30" s="0" t="n">
        <v>-7.55</v>
      </c>
      <c r="N30" s="0" t="n">
        <v>22569</v>
      </c>
      <c r="Q30" s="0" t="s">
        <v>33</v>
      </c>
      <c r="R30" s="0" t="n">
        <v>4054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Z30" s="0" t="s">
        <v>33</v>
      </c>
      <c r="AA30" s="0" t="s">
        <v>40</v>
      </c>
      <c r="AB30" s="0" t="n">
        <v>0</v>
      </c>
      <c r="AC30" s="0" t="n">
        <v>0</v>
      </c>
    </row>
    <row r="31" customFormat="false" ht="15" hidden="false" customHeight="false" outlineLevel="0" collapsed="false">
      <c r="A31" s="0" t="n">
        <v>147</v>
      </c>
      <c r="B31" s="0" t="s">
        <v>29</v>
      </c>
      <c r="C31" s="0" t="s">
        <v>30</v>
      </c>
      <c r="D31" s="0" t="s">
        <v>31</v>
      </c>
      <c r="E31" s="0" t="s">
        <v>32</v>
      </c>
      <c r="H31" s="0" t="n">
        <v>5</v>
      </c>
      <c r="I31" s="0" t="n">
        <v>5</v>
      </c>
      <c r="J31" s="0" t="n">
        <v>0</v>
      </c>
      <c r="K31" s="0" t="n">
        <v>40.67</v>
      </c>
      <c r="L31" s="0" t="n">
        <v>38.69</v>
      </c>
      <c r="M31" s="0" t="n">
        <v>-1.98</v>
      </c>
      <c r="N31" s="0" t="n">
        <v>23567</v>
      </c>
      <c r="Q31" s="0" t="s">
        <v>33</v>
      </c>
      <c r="R31" s="0" t="n">
        <v>4054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Z31" s="0" t="s">
        <v>34</v>
      </c>
      <c r="AA31" s="0" t="s">
        <v>35</v>
      </c>
      <c r="AB31" s="0" t="n">
        <v>1</v>
      </c>
      <c r="AC31" s="0" t="n">
        <v>0</v>
      </c>
    </row>
    <row r="32" customFormat="false" ht="15" hidden="false" customHeight="false" outlineLevel="0" collapsed="false">
      <c r="A32" s="0" t="n">
        <v>151</v>
      </c>
      <c r="B32" s="0" t="s">
        <v>29</v>
      </c>
      <c r="C32" s="0" t="s">
        <v>44</v>
      </c>
      <c r="D32" s="0" t="s">
        <v>31</v>
      </c>
      <c r="E32" s="0" t="s">
        <v>32</v>
      </c>
      <c r="H32" s="0" t="n">
        <v>3</v>
      </c>
      <c r="I32" s="0" t="n">
        <v>3</v>
      </c>
      <c r="J32" s="0" t="n">
        <v>0</v>
      </c>
      <c r="K32" s="0" t="n">
        <v>51.97</v>
      </c>
      <c r="L32" s="0" t="n">
        <v>50.77</v>
      </c>
      <c r="M32" s="0" t="n">
        <v>-1.2</v>
      </c>
      <c r="N32" s="0" t="n">
        <v>19064</v>
      </c>
      <c r="Q32" s="0" t="s">
        <v>33</v>
      </c>
      <c r="R32" s="0" t="n">
        <v>4054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Z32" s="0" t="s">
        <v>34</v>
      </c>
      <c r="AA32" s="0" t="s">
        <v>37</v>
      </c>
      <c r="AB32" s="0" t="n">
        <v>0</v>
      </c>
      <c r="AC32" s="0" t="n">
        <v>0</v>
      </c>
    </row>
    <row r="33" customFormat="false" ht="15" hidden="false" customHeight="false" outlineLevel="0" collapsed="false">
      <c r="A33" s="0" t="n">
        <v>152</v>
      </c>
      <c r="B33" s="0" t="s">
        <v>29</v>
      </c>
      <c r="C33" s="0" t="s">
        <v>47</v>
      </c>
      <c r="D33" s="0" t="s">
        <v>31</v>
      </c>
      <c r="E33" s="0" t="s">
        <v>32</v>
      </c>
      <c r="H33" s="0" t="n">
        <v>3</v>
      </c>
      <c r="I33" s="0" t="n">
        <v>3</v>
      </c>
      <c r="J33" s="0" t="n">
        <v>0</v>
      </c>
      <c r="K33" s="0" t="n">
        <v>61.33</v>
      </c>
      <c r="L33" s="0" t="n">
        <v>58.48</v>
      </c>
      <c r="M33" s="0" t="n">
        <v>-2.85</v>
      </c>
      <c r="N33" s="0" t="n">
        <v>11542</v>
      </c>
      <c r="Q33" s="0" t="s">
        <v>33</v>
      </c>
      <c r="R33" s="0" t="n">
        <v>4054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Z33" s="0" t="s">
        <v>34</v>
      </c>
      <c r="AA33" s="0" t="s">
        <v>37</v>
      </c>
      <c r="AB33" s="0" t="n">
        <v>0</v>
      </c>
      <c r="AC33" s="0" t="n">
        <v>0</v>
      </c>
    </row>
    <row r="34" customFormat="false" ht="15" hidden="false" customHeight="false" outlineLevel="0" collapsed="false">
      <c r="A34" s="0" t="n">
        <v>153</v>
      </c>
      <c r="B34" s="0" t="s">
        <v>36</v>
      </c>
      <c r="C34" s="0" t="s">
        <v>47</v>
      </c>
      <c r="D34" s="0" t="s">
        <v>31</v>
      </c>
      <c r="E34" s="0" t="s">
        <v>32</v>
      </c>
      <c r="H34" s="0" t="n">
        <v>4</v>
      </c>
      <c r="I34" s="0" t="n">
        <v>4</v>
      </c>
      <c r="J34" s="0" t="n">
        <v>0</v>
      </c>
      <c r="K34" s="0" t="n">
        <v>57.1</v>
      </c>
      <c r="L34" s="0" t="n">
        <v>52.6</v>
      </c>
      <c r="M34" s="0" t="n">
        <v>-4.5</v>
      </c>
      <c r="N34" s="0" t="n">
        <v>15553</v>
      </c>
      <c r="Q34" s="0" t="s">
        <v>33</v>
      </c>
      <c r="R34" s="0" t="n">
        <v>4054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Z34" s="0" t="s">
        <v>34</v>
      </c>
      <c r="AA34" s="0" t="s">
        <v>37</v>
      </c>
      <c r="AB34" s="0" t="n">
        <v>0</v>
      </c>
      <c r="AC34" s="0" t="n">
        <v>0</v>
      </c>
    </row>
    <row r="35" customFormat="false" ht="15" hidden="false" customHeight="false" outlineLevel="0" collapsed="false">
      <c r="A35" s="0" t="n">
        <v>155</v>
      </c>
      <c r="B35" s="0" t="s">
        <v>29</v>
      </c>
      <c r="C35" s="0" t="s">
        <v>30</v>
      </c>
      <c r="D35" s="0" t="s">
        <v>31</v>
      </c>
      <c r="E35" s="0" t="s">
        <v>32</v>
      </c>
      <c r="H35" s="0" t="n">
        <v>3</v>
      </c>
      <c r="I35" s="0" t="n">
        <v>3</v>
      </c>
      <c r="J35" s="0" t="n">
        <v>0</v>
      </c>
      <c r="K35" s="0" t="n">
        <v>58.04</v>
      </c>
      <c r="L35" s="0" t="n">
        <v>54.33</v>
      </c>
      <c r="M35" s="0" t="n">
        <v>-3.71</v>
      </c>
      <c r="N35" s="0" t="n">
        <v>14061</v>
      </c>
      <c r="Q35" s="0" t="s">
        <v>33</v>
      </c>
      <c r="R35" s="0" t="n">
        <v>4054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Z35" s="0" t="s">
        <v>34</v>
      </c>
      <c r="AA35" s="0" t="s">
        <v>37</v>
      </c>
      <c r="AB35" s="0" t="n">
        <v>0</v>
      </c>
      <c r="AC35" s="0" t="n">
        <v>0</v>
      </c>
    </row>
    <row r="36" customFormat="false" ht="15" hidden="false" customHeight="false" outlineLevel="0" collapsed="false">
      <c r="A36" s="0" t="n">
        <v>160</v>
      </c>
      <c r="B36" s="0" t="s">
        <v>29</v>
      </c>
      <c r="C36" s="0" t="s">
        <v>38</v>
      </c>
      <c r="D36" s="0" t="s">
        <v>31</v>
      </c>
      <c r="E36" s="0" t="s">
        <v>32</v>
      </c>
      <c r="H36" s="0" t="n">
        <v>6</v>
      </c>
      <c r="I36" s="0" t="n">
        <v>6</v>
      </c>
      <c r="J36" s="0" t="n">
        <v>0</v>
      </c>
      <c r="K36" s="0" t="n">
        <v>47.42</v>
      </c>
      <c r="L36" s="0" t="n">
        <v>47.42</v>
      </c>
      <c r="M36" s="0" t="n">
        <v>0</v>
      </c>
      <c r="N36" s="0" t="n">
        <v>19068</v>
      </c>
      <c r="Q36" s="0" t="s">
        <v>33</v>
      </c>
      <c r="R36" s="0" t="n">
        <v>4054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Z36" s="0" t="s">
        <v>34</v>
      </c>
      <c r="AA36" s="0" t="s">
        <v>37</v>
      </c>
      <c r="AB36" s="0" t="n">
        <v>0</v>
      </c>
      <c r="AC36" s="0" t="n">
        <v>0</v>
      </c>
    </row>
    <row r="37" customFormat="false" ht="15" hidden="false" customHeight="false" outlineLevel="0" collapsed="false">
      <c r="A37" s="0" t="n">
        <v>161</v>
      </c>
      <c r="B37" s="0" t="s">
        <v>29</v>
      </c>
      <c r="C37" s="0" t="s">
        <v>47</v>
      </c>
      <c r="D37" s="0" t="s">
        <v>31</v>
      </c>
      <c r="E37" s="0" t="s">
        <v>32</v>
      </c>
      <c r="H37" s="0" t="n">
        <v>3</v>
      </c>
      <c r="I37" s="0" t="n">
        <v>3</v>
      </c>
      <c r="J37" s="0" t="n">
        <v>0</v>
      </c>
      <c r="K37" s="0" t="n">
        <v>61.07</v>
      </c>
      <c r="L37" s="0" t="n">
        <v>56.33</v>
      </c>
      <c r="M37" s="0" t="n">
        <v>-4.74</v>
      </c>
      <c r="N37" s="0" t="n">
        <v>12543</v>
      </c>
      <c r="Q37" s="0" t="s">
        <v>33</v>
      </c>
      <c r="R37" s="0" t="n">
        <v>4054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Z37" s="0" t="s">
        <v>34</v>
      </c>
      <c r="AA37" s="0" t="s">
        <v>37</v>
      </c>
      <c r="AB37" s="0" t="n">
        <v>0</v>
      </c>
      <c r="AC37" s="0" t="n">
        <v>0</v>
      </c>
    </row>
    <row r="38" customFormat="false" ht="15" hidden="false" customHeight="false" outlineLevel="0" collapsed="false">
      <c r="A38" s="0" t="n">
        <v>164</v>
      </c>
      <c r="B38" s="0" t="s">
        <v>29</v>
      </c>
      <c r="C38" s="0" t="s">
        <v>30</v>
      </c>
      <c r="D38" s="0" t="s">
        <v>31</v>
      </c>
      <c r="E38" s="0" t="s">
        <v>32</v>
      </c>
      <c r="H38" s="0" t="n">
        <v>9</v>
      </c>
      <c r="I38" s="0" t="n">
        <v>9</v>
      </c>
      <c r="J38" s="0" t="n">
        <v>0</v>
      </c>
      <c r="K38" s="0" t="n">
        <v>47.19</v>
      </c>
      <c r="L38" s="0" t="n">
        <v>44.84</v>
      </c>
      <c r="M38" s="0" t="n">
        <v>-2.35</v>
      </c>
      <c r="N38" s="0" t="n">
        <v>22575</v>
      </c>
      <c r="Q38" s="0" t="s">
        <v>33</v>
      </c>
      <c r="R38" s="0" t="n">
        <v>4054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Z38" s="0" t="s">
        <v>34</v>
      </c>
      <c r="AA38" s="0" t="s">
        <v>37</v>
      </c>
      <c r="AB38" s="0" t="n">
        <v>0</v>
      </c>
      <c r="AC38" s="0" t="n">
        <v>0</v>
      </c>
    </row>
    <row r="39" customFormat="false" ht="15" hidden="false" customHeight="false" outlineLevel="0" collapsed="false">
      <c r="A39" s="0" t="n">
        <v>168</v>
      </c>
      <c r="B39" s="0" t="s">
        <v>42</v>
      </c>
      <c r="C39" s="0" t="s">
        <v>48</v>
      </c>
      <c r="D39" s="0" t="s">
        <v>31</v>
      </c>
      <c r="E39" s="0" t="s">
        <v>32</v>
      </c>
      <c r="H39" s="0" t="n">
        <v>4</v>
      </c>
      <c r="I39" s="0" t="n">
        <v>4</v>
      </c>
      <c r="J39" s="0" t="n">
        <v>0</v>
      </c>
      <c r="K39" s="0" t="n">
        <v>68.32</v>
      </c>
      <c r="L39" s="0" t="n">
        <v>60.08</v>
      </c>
      <c r="M39" s="0" t="n">
        <v>-8.24</v>
      </c>
      <c r="N39" s="0" t="n">
        <v>11539</v>
      </c>
      <c r="Q39" s="0" t="s">
        <v>33</v>
      </c>
      <c r="R39" s="0" t="n">
        <v>4054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Z39" s="0" t="s">
        <v>33</v>
      </c>
      <c r="AA39" s="0" t="s">
        <v>40</v>
      </c>
      <c r="AB39" s="0" t="n">
        <v>0</v>
      </c>
      <c r="AC39" s="0" t="n">
        <v>0</v>
      </c>
    </row>
    <row r="40" customFormat="false" ht="15" hidden="false" customHeight="false" outlineLevel="0" collapsed="false">
      <c r="A40" s="0" t="n">
        <v>171</v>
      </c>
      <c r="B40" s="0" t="s">
        <v>29</v>
      </c>
      <c r="C40" s="0" t="s">
        <v>38</v>
      </c>
      <c r="D40" s="0" t="s">
        <v>31</v>
      </c>
      <c r="E40" s="0" t="s">
        <v>32</v>
      </c>
      <c r="H40" s="0" t="n">
        <v>2</v>
      </c>
      <c r="I40" s="0" t="n">
        <v>2</v>
      </c>
      <c r="J40" s="0" t="n">
        <v>0</v>
      </c>
      <c r="K40" s="0" t="n">
        <v>80.24</v>
      </c>
      <c r="L40" s="0" t="n">
        <v>80.24</v>
      </c>
      <c r="M40" s="0" t="n">
        <v>0</v>
      </c>
      <c r="N40" s="0" t="n">
        <v>7030</v>
      </c>
      <c r="Q40" s="0" t="s">
        <v>33</v>
      </c>
      <c r="R40" s="0" t="n">
        <v>4054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Z40" s="0" t="s">
        <v>34</v>
      </c>
      <c r="AA40" s="0" t="s">
        <v>35</v>
      </c>
      <c r="AB40" s="0" t="n">
        <v>1</v>
      </c>
      <c r="AC40" s="0" t="n">
        <v>0</v>
      </c>
    </row>
    <row r="41" customFormat="false" ht="15" hidden="false" customHeight="false" outlineLevel="0" collapsed="false">
      <c r="A41" s="0" t="n">
        <v>182</v>
      </c>
      <c r="B41" s="0" t="s">
        <v>29</v>
      </c>
      <c r="C41" s="0" t="s">
        <v>48</v>
      </c>
      <c r="D41" s="0" t="s">
        <v>31</v>
      </c>
      <c r="E41" s="0" t="s">
        <v>32</v>
      </c>
      <c r="H41" s="0" t="n">
        <v>2</v>
      </c>
      <c r="I41" s="0" t="n">
        <v>1</v>
      </c>
      <c r="J41" s="0" t="n">
        <v>-1</v>
      </c>
      <c r="K41" s="0" t="n">
        <v>73.6</v>
      </c>
      <c r="L41" s="0" t="n">
        <v>90.81</v>
      </c>
      <c r="M41" s="0" t="n">
        <v>17.21</v>
      </c>
      <c r="N41" s="0" t="n">
        <v>6024</v>
      </c>
      <c r="Q41" s="0" t="s">
        <v>33</v>
      </c>
      <c r="R41" s="0" t="n">
        <v>4054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Z41" s="0" t="s">
        <v>33</v>
      </c>
      <c r="AA41" s="0" t="s">
        <v>40</v>
      </c>
      <c r="AB41" s="0" t="n">
        <v>0</v>
      </c>
      <c r="AC41" s="0" t="n">
        <v>0</v>
      </c>
    </row>
    <row r="42" customFormat="false" ht="15" hidden="false" customHeight="false" outlineLevel="0" collapsed="false">
      <c r="A42" s="0" t="n">
        <v>191</v>
      </c>
      <c r="B42" s="0" t="s">
        <v>29</v>
      </c>
      <c r="C42" s="0" t="s">
        <v>46</v>
      </c>
      <c r="D42" s="0" t="s">
        <v>31</v>
      </c>
      <c r="E42" s="0" t="s">
        <v>32</v>
      </c>
      <c r="H42" s="0" t="n">
        <v>8</v>
      </c>
      <c r="I42" s="0" t="n">
        <v>8</v>
      </c>
      <c r="J42" s="0" t="n">
        <v>0</v>
      </c>
      <c r="K42" s="0" t="n">
        <v>42.8</v>
      </c>
      <c r="L42" s="0" t="n">
        <v>40.18</v>
      </c>
      <c r="M42" s="0" t="n">
        <v>-2.62</v>
      </c>
      <c r="N42" s="0" t="n">
        <v>35097</v>
      </c>
      <c r="Q42" s="0" t="s">
        <v>33</v>
      </c>
      <c r="R42" s="0" t="n">
        <v>4054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Z42" s="0" t="s">
        <v>34</v>
      </c>
      <c r="AA42" s="0" t="s">
        <v>37</v>
      </c>
      <c r="AB42" s="0" t="n">
        <v>0</v>
      </c>
      <c r="AC42" s="0" t="n">
        <v>0</v>
      </c>
    </row>
    <row r="43" customFormat="false" ht="15" hidden="false" customHeight="false" outlineLevel="0" collapsed="false">
      <c r="A43" s="0" t="n">
        <v>193</v>
      </c>
      <c r="B43" s="0" t="s">
        <v>29</v>
      </c>
      <c r="C43" s="0" t="s">
        <v>39</v>
      </c>
      <c r="D43" s="0" t="s">
        <v>31</v>
      </c>
      <c r="E43" s="0" t="s">
        <v>32</v>
      </c>
      <c r="H43" s="0" t="n">
        <v>4</v>
      </c>
      <c r="I43" s="0" t="n">
        <v>4</v>
      </c>
      <c r="J43" s="0" t="n">
        <v>0</v>
      </c>
      <c r="K43" s="0" t="n">
        <v>61.95</v>
      </c>
      <c r="L43" s="0" t="n">
        <v>56.51</v>
      </c>
      <c r="M43" s="0" t="n">
        <v>-5.44</v>
      </c>
      <c r="N43" s="0" t="n">
        <v>17551</v>
      </c>
      <c r="Q43" s="0" t="s">
        <v>33</v>
      </c>
      <c r="R43" s="0" t="n">
        <v>4054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Z43" s="0" t="s">
        <v>34</v>
      </c>
      <c r="AA43" s="0" t="s">
        <v>37</v>
      </c>
      <c r="AB43" s="0" t="n">
        <v>0</v>
      </c>
      <c r="AC43" s="0" t="n">
        <v>0</v>
      </c>
    </row>
    <row r="44" customFormat="false" ht="15" hidden="false" customHeight="false" outlineLevel="0" collapsed="false">
      <c r="A44" s="0" t="n">
        <v>203</v>
      </c>
      <c r="B44" s="0" t="s">
        <v>42</v>
      </c>
      <c r="C44" s="0" t="s">
        <v>30</v>
      </c>
      <c r="D44" s="0" t="s">
        <v>31</v>
      </c>
      <c r="E44" s="0" t="s">
        <v>32</v>
      </c>
      <c r="H44" s="0" t="n">
        <v>4</v>
      </c>
      <c r="I44" s="0" t="n">
        <v>4</v>
      </c>
      <c r="J44" s="0" t="n">
        <v>0</v>
      </c>
      <c r="K44" s="0" t="n">
        <v>63.82</v>
      </c>
      <c r="L44" s="0" t="n">
        <v>57.76</v>
      </c>
      <c r="M44" s="0" t="n">
        <v>-6.06</v>
      </c>
      <c r="N44" s="0" t="n">
        <v>14560</v>
      </c>
      <c r="Q44" s="0" t="s">
        <v>33</v>
      </c>
      <c r="R44" s="0" t="n">
        <v>4054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Z44" s="0" t="s">
        <v>33</v>
      </c>
      <c r="AA44" s="0" t="s">
        <v>40</v>
      </c>
      <c r="AB44" s="0" t="n">
        <v>0</v>
      </c>
      <c r="AC44" s="0" t="n">
        <v>0</v>
      </c>
    </row>
    <row r="45" customFormat="false" ht="15" hidden="false" customHeight="false" outlineLevel="0" collapsed="false">
      <c r="A45" s="0" t="n">
        <v>204</v>
      </c>
      <c r="B45" s="0" t="s">
        <v>36</v>
      </c>
      <c r="C45" s="0" t="s">
        <v>39</v>
      </c>
      <c r="D45" s="0" t="s">
        <v>31</v>
      </c>
      <c r="E45" s="0" t="s">
        <v>32</v>
      </c>
      <c r="H45" s="0" t="n">
        <v>5</v>
      </c>
      <c r="I45" s="0" t="n">
        <v>5</v>
      </c>
      <c r="J45" s="0" t="n">
        <v>0</v>
      </c>
      <c r="K45" s="0" t="n">
        <v>52.68</v>
      </c>
      <c r="L45" s="0" t="n">
        <v>48.37</v>
      </c>
      <c r="M45" s="0" t="n">
        <v>-4.31</v>
      </c>
      <c r="N45" s="0" t="n">
        <v>20064</v>
      </c>
      <c r="Q45" s="0" t="s">
        <v>33</v>
      </c>
      <c r="R45" s="0" t="n">
        <v>4054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Z45" s="0" t="s">
        <v>34</v>
      </c>
      <c r="AA45" s="0" t="s">
        <v>37</v>
      </c>
      <c r="AB45" s="0" t="n">
        <v>0</v>
      </c>
      <c r="AC45" s="0" t="n">
        <v>0</v>
      </c>
    </row>
    <row r="46" customFormat="false" ht="15" hidden="false" customHeight="false" outlineLevel="0" collapsed="false">
      <c r="A46" s="0" t="n">
        <v>210</v>
      </c>
      <c r="B46" s="0" t="s">
        <v>42</v>
      </c>
      <c r="C46" s="0" t="s">
        <v>38</v>
      </c>
      <c r="D46" s="0" t="s">
        <v>31</v>
      </c>
      <c r="E46" s="0" t="s">
        <v>32</v>
      </c>
      <c r="H46" s="0" t="n">
        <v>2</v>
      </c>
      <c r="I46" s="0" t="n">
        <v>2</v>
      </c>
      <c r="J46" s="0" t="n">
        <v>0</v>
      </c>
      <c r="K46" s="0" t="n">
        <v>63.54</v>
      </c>
      <c r="L46" s="0" t="n">
        <v>63.54</v>
      </c>
      <c r="M46" s="0" t="n">
        <v>0</v>
      </c>
      <c r="N46" s="0" t="n">
        <v>11546</v>
      </c>
      <c r="Q46" s="0" t="s">
        <v>33</v>
      </c>
      <c r="R46" s="0" t="n">
        <v>4054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Z46" s="0" t="s">
        <v>34</v>
      </c>
      <c r="AA46" s="0" t="s">
        <v>37</v>
      </c>
      <c r="AB46" s="0" t="n">
        <v>0</v>
      </c>
      <c r="AC46" s="0" t="n">
        <v>0</v>
      </c>
    </row>
    <row r="47" customFormat="false" ht="15" hidden="false" customHeight="false" outlineLevel="0" collapsed="false">
      <c r="A47" s="0" t="n">
        <v>217</v>
      </c>
      <c r="B47" s="0" t="s">
        <v>36</v>
      </c>
      <c r="C47" s="0" t="s">
        <v>39</v>
      </c>
      <c r="D47" s="0" t="s">
        <v>31</v>
      </c>
      <c r="E47" s="0" t="s">
        <v>32</v>
      </c>
      <c r="H47" s="0" t="n">
        <v>2</v>
      </c>
      <c r="I47" s="0" t="n">
        <v>2</v>
      </c>
      <c r="J47" s="0" t="n">
        <v>0</v>
      </c>
      <c r="K47" s="0" t="n">
        <v>57.14</v>
      </c>
      <c r="L47" s="0" t="n">
        <v>56.93</v>
      </c>
      <c r="M47" s="0" t="n">
        <v>-0.21</v>
      </c>
      <c r="N47" s="0" t="n">
        <v>12541</v>
      </c>
      <c r="Q47" s="0" t="s">
        <v>33</v>
      </c>
      <c r="R47" s="0" t="n">
        <v>4054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Z47" s="0" t="s">
        <v>34</v>
      </c>
      <c r="AA47" s="0" t="s">
        <v>35</v>
      </c>
      <c r="AB47" s="0" t="n">
        <v>1</v>
      </c>
      <c r="AC47" s="0" t="n">
        <v>0</v>
      </c>
    </row>
    <row r="48" customFormat="false" ht="15" hidden="false" customHeight="false" outlineLevel="0" collapsed="false">
      <c r="A48" s="0" t="n">
        <v>221</v>
      </c>
      <c r="B48" s="0" t="s">
        <v>29</v>
      </c>
      <c r="C48" s="0" t="s">
        <v>38</v>
      </c>
      <c r="D48" s="0" t="s">
        <v>31</v>
      </c>
      <c r="E48" s="0" t="s">
        <v>32</v>
      </c>
      <c r="H48" s="0" t="n">
        <v>1</v>
      </c>
      <c r="I48" s="0" t="n">
        <v>1</v>
      </c>
      <c r="J48" s="0" t="n">
        <v>0</v>
      </c>
      <c r="K48" s="0" t="n">
        <v>94.95</v>
      </c>
      <c r="L48" s="0" t="n">
        <v>94.95</v>
      </c>
      <c r="M48" s="0" t="n">
        <v>0</v>
      </c>
      <c r="N48" s="0" t="n">
        <v>5525</v>
      </c>
      <c r="Q48" s="0" t="s">
        <v>33</v>
      </c>
      <c r="R48" s="0" t="n">
        <v>4054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Z48" s="0" t="s">
        <v>33</v>
      </c>
      <c r="AA48" s="0" t="s">
        <v>40</v>
      </c>
      <c r="AB48" s="0" t="n">
        <v>0</v>
      </c>
      <c r="AC48" s="0" t="n">
        <v>0</v>
      </c>
    </row>
    <row r="49" customFormat="false" ht="15" hidden="false" customHeight="false" outlineLevel="0" collapsed="false">
      <c r="A49" s="0" t="n">
        <v>227</v>
      </c>
      <c r="B49" s="0" t="s">
        <v>42</v>
      </c>
      <c r="C49" s="0" t="s">
        <v>39</v>
      </c>
      <c r="D49" s="0" t="s">
        <v>31</v>
      </c>
      <c r="E49" s="0" t="s">
        <v>32</v>
      </c>
      <c r="H49" s="0" t="n">
        <v>6</v>
      </c>
      <c r="I49" s="0" t="n">
        <v>6</v>
      </c>
      <c r="J49" s="0" t="n">
        <v>0</v>
      </c>
      <c r="K49" s="0" t="n">
        <v>62.99</v>
      </c>
      <c r="L49" s="0" t="n">
        <v>56.96</v>
      </c>
      <c r="M49" s="0" t="n">
        <v>-6.03</v>
      </c>
      <c r="N49" s="0" t="n">
        <v>19564</v>
      </c>
      <c r="Q49" s="0" t="s">
        <v>33</v>
      </c>
      <c r="R49" s="0" t="n">
        <v>4054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Z49" s="0" t="s">
        <v>34</v>
      </c>
      <c r="AA49" s="0" t="s">
        <v>37</v>
      </c>
      <c r="AB49" s="0" t="n">
        <v>0</v>
      </c>
      <c r="AC49" s="0" t="n">
        <v>0</v>
      </c>
    </row>
    <row r="50" customFormat="false" ht="15" hidden="false" customHeight="false" outlineLevel="0" collapsed="false">
      <c r="A50" s="0" t="n">
        <v>230</v>
      </c>
      <c r="B50" s="0" t="s">
        <v>42</v>
      </c>
      <c r="C50" s="0" t="s">
        <v>30</v>
      </c>
      <c r="D50" s="0" t="s">
        <v>31</v>
      </c>
      <c r="E50" s="0" t="s">
        <v>32</v>
      </c>
      <c r="H50" s="0" t="n">
        <v>4</v>
      </c>
      <c r="I50" s="0" t="n">
        <v>4</v>
      </c>
      <c r="J50" s="0" t="n">
        <v>0</v>
      </c>
      <c r="K50" s="0" t="n">
        <v>52.82</v>
      </c>
      <c r="L50" s="0" t="n">
        <v>47.52</v>
      </c>
      <c r="M50" s="0" t="n">
        <v>-5.3</v>
      </c>
      <c r="N50" s="0" t="n">
        <v>17052</v>
      </c>
      <c r="Q50" s="0" t="s">
        <v>33</v>
      </c>
      <c r="R50" s="0" t="n">
        <v>4054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Z50" s="0" t="s">
        <v>33</v>
      </c>
      <c r="AA50" s="0" t="s">
        <v>40</v>
      </c>
      <c r="AB50" s="0" t="n">
        <v>0</v>
      </c>
      <c r="AC50" s="0" t="n">
        <v>0</v>
      </c>
    </row>
    <row r="51" customFormat="false" ht="15" hidden="false" customHeight="false" outlineLevel="0" collapsed="false">
      <c r="A51" s="0" t="n">
        <v>238</v>
      </c>
      <c r="B51" s="0" t="s">
        <v>29</v>
      </c>
      <c r="C51" s="0" t="s">
        <v>43</v>
      </c>
      <c r="D51" s="0" t="s">
        <v>31</v>
      </c>
      <c r="E51" s="0" t="s">
        <v>32</v>
      </c>
      <c r="H51" s="0" t="n">
        <v>5</v>
      </c>
      <c r="I51" s="0" t="n">
        <v>5</v>
      </c>
      <c r="J51" s="0" t="n">
        <v>0</v>
      </c>
      <c r="K51" s="0" t="n">
        <v>49.25</v>
      </c>
      <c r="L51" s="0" t="n">
        <v>51.36</v>
      </c>
      <c r="M51" s="0" t="n">
        <v>2.11</v>
      </c>
      <c r="N51" s="0" t="n">
        <v>19563</v>
      </c>
      <c r="Q51" s="0" t="s">
        <v>33</v>
      </c>
      <c r="R51" s="0" t="n">
        <v>4054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Z51" s="0" t="s">
        <v>34</v>
      </c>
      <c r="AA51" s="0" t="s">
        <v>35</v>
      </c>
      <c r="AB51" s="0" t="n">
        <v>1</v>
      </c>
      <c r="AC51" s="0" t="n">
        <v>0</v>
      </c>
    </row>
    <row r="52" customFormat="false" ht="15" hidden="false" customHeight="false" outlineLevel="0" collapsed="false">
      <c r="A52" s="0" t="n">
        <v>243</v>
      </c>
      <c r="B52" s="0" t="s">
        <v>29</v>
      </c>
      <c r="C52" s="0" t="s">
        <v>39</v>
      </c>
      <c r="D52" s="0" t="s">
        <v>31</v>
      </c>
      <c r="E52" s="0" t="s">
        <v>32</v>
      </c>
      <c r="H52" s="0" t="n">
        <v>4</v>
      </c>
      <c r="I52" s="0" t="n">
        <v>4</v>
      </c>
      <c r="J52" s="0" t="n">
        <v>0</v>
      </c>
      <c r="K52" s="0" t="n">
        <v>53.99</v>
      </c>
      <c r="L52" s="0" t="n">
        <v>49.17</v>
      </c>
      <c r="M52" s="0" t="n">
        <v>-4.82</v>
      </c>
      <c r="N52" s="0" t="n">
        <v>18559</v>
      </c>
      <c r="Q52" s="0" t="s">
        <v>33</v>
      </c>
      <c r="R52" s="0" t="n">
        <v>4032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Z52" s="0" t="s">
        <v>33</v>
      </c>
      <c r="AA52" s="0" t="s">
        <v>40</v>
      </c>
      <c r="AB52" s="0" t="n">
        <v>0</v>
      </c>
      <c r="AC52" s="0" t="n">
        <v>0</v>
      </c>
    </row>
    <row r="53" customFormat="false" ht="15" hidden="false" customHeight="false" outlineLevel="0" collapsed="false">
      <c r="A53" s="0" t="n">
        <v>248</v>
      </c>
      <c r="B53" s="0" t="s">
        <v>36</v>
      </c>
      <c r="C53" s="0" t="s">
        <v>30</v>
      </c>
      <c r="D53" s="0" t="s">
        <v>31</v>
      </c>
      <c r="E53" s="0" t="s">
        <v>32</v>
      </c>
      <c r="H53" s="0" t="n">
        <v>7</v>
      </c>
      <c r="I53" s="0" t="n">
        <v>7</v>
      </c>
      <c r="J53" s="0" t="n">
        <v>0</v>
      </c>
      <c r="K53" s="0" t="n">
        <v>51.63</v>
      </c>
      <c r="L53" s="0" t="n">
        <v>49.21</v>
      </c>
      <c r="M53" s="0" t="n">
        <v>-2.42</v>
      </c>
      <c r="N53" s="0" t="n">
        <v>20562</v>
      </c>
      <c r="Q53" s="0" t="s">
        <v>33</v>
      </c>
      <c r="R53" s="0" t="n">
        <v>4032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Z53" s="0" t="s">
        <v>33</v>
      </c>
      <c r="AA53" s="0" t="s">
        <v>40</v>
      </c>
      <c r="AB53" s="0" t="n">
        <v>0</v>
      </c>
      <c r="AC53" s="0" t="n">
        <v>0</v>
      </c>
    </row>
    <row r="54" customFormat="false" ht="15" hidden="false" customHeight="false" outlineLevel="0" collapsed="false">
      <c r="A54" s="0" t="n">
        <v>249</v>
      </c>
      <c r="B54" s="0" t="s">
        <v>42</v>
      </c>
      <c r="C54" s="0" t="s">
        <v>39</v>
      </c>
      <c r="D54" s="0" t="s">
        <v>31</v>
      </c>
      <c r="E54" s="0" t="s">
        <v>32</v>
      </c>
      <c r="H54" s="0" t="n">
        <v>4</v>
      </c>
      <c r="I54" s="0" t="n">
        <v>4</v>
      </c>
      <c r="J54" s="0" t="n">
        <v>0</v>
      </c>
      <c r="K54" s="0" t="n">
        <v>62.79</v>
      </c>
      <c r="L54" s="0" t="n">
        <v>57.69</v>
      </c>
      <c r="M54" s="0" t="n">
        <v>-5.1</v>
      </c>
      <c r="N54" s="0" t="n">
        <v>15049</v>
      </c>
      <c r="Q54" s="0" t="s">
        <v>33</v>
      </c>
      <c r="R54" s="0" t="n">
        <v>4032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Z54" s="0" t="s">
        <v>33</v>
      </c>
      <c r="AA54" s="0" t="s">
        <v>40</v>
      </c>
      <c r="AB54" s="0" t="n">
        <v>0</v>
      </c>
      <c r="AC54" s="0" t="n">
        <v>0</v>
      </c>
    </row>
    <row r="55" customFormat="false" ht="15" hidden="false" customHeight="false" outlineLevel="0" collapsed="false">
      <c r="A55" s="0" t="n">
        <v>251</v>
      </c>
      <c r="B55" s="0" t="s">
        <v>42</v>
      </c>
      <c r="C55" s="0" t="s">
        <v>48</v>
      </c>
      <c r="D55" s="0" t="s">
        <v>31</v>
      </c>
      <c r="E55" s="0" t="s">
        <v>32</v>
      </c>
      <c r="H55" s="0" t="n">
        <v>2</v>
      </c>
      <c r="I55" s="0" t="n">
        <v>1</v>
      </c>
      <c r="J55" s="0" t="n">
        <v>-1</v>
      </c>
      <c r="K55" s="0" t="n">
        <v>69.89</v>
      </c>
      <c r="L55" s="0" t="n">
        <v>71.6</v>
      </c>
      <c r="M55" s="0" t="n">
        <v>1.71</v>
      </c>
      <c r="N55" s="0" t="n">
        <v>10038</v>
      </c>
      <c r="Q55" s="0" t="s">
        <v>33</v>
      </c>
      <c r="R55" s="0" t="n">
        <v>4034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Z55" s="0" t="s">
        <v>33</v>
      </c>
      <c r="AA55" s="0" t="s">
        <v>40</v>
      </c>
      <c r="AB55" s="0" t="n">
        <v>0</v>
      </c>
      <c r="AC55" s="0" t="n">
        <v>0</v>
      </c>
    </row>
    <row r="56" customFormat="false" ht="15" hidden="false" customHeight="false" outlineLevel="0" collapsed="false">
      <c r="A56" s="0" t="n">
        <v>257</v>
      </c>
      <c r="B56" s="0" t="s">
        <v>29</v>
      </c>
      <c r="C56" s="0" t="s">
        <v>39</v>
      </c>
      <c r="D56" s="0" t="s">
        <v>31</v>
      </c>
      <c r="E56" s="0" t="s">
        <v>32</v>
      </c>
      <c r="H56" s="0" t="n">
        <v>3</v>
      </c>
      <c r="I56" s="0" t="n">
        <v>3</v>
      </c>
      <c r="J56" s="0" t="n">
        <v>0</v>
      </c>
      <c r="K56" s="0" t="n">
        <v>65.2</v>
      </c>
      <c r="L56" s="0" t="n">
        <v>60</v>
      </c>
      <c r="M56" s="0" t="n">
        <v>-5.2</v>
      </c>
      <c r="N56" s="0" t="n">
        <v>13056</v>
      </c>
      <c r="Q56" s="0" t="s">
        <v>33</v>
      </c>
      <c r="R56" s="0" t="n">
        <v>4034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Z56" s="0" t="s">
        <v>33</v>
      </c>
      <c r="AA56" s="0" t="s">
        <v>40</v>
      </c>
      <c r="AB56" s="0" t="n">
        <v>0</v>
      </c>
      <c r="AC56" s="0" t="n">
        <v>0</v>
      </c>
    </row>
    <row r="57" customFormat="false" ht="15" hidden="false" customHeight="false" outlineLevel="0" collapsed="false">
      <c r="A57" s="0" t="n">
        <v>258</v>
      </c>
      <c r="B57" s="0" t="s">
        <v>29</v>
      </c>
      <c r="C57" s="0" t="s">
        <v>47</v>
      </c>
      <c r="D57" s="0" t="s">
        <v>49</v>
      </c>
      <c r="E57" s="0" t="s">
        <v>50</v>
      </c>
      <c r="H57" s="0" t="n">
        <v>4</v>
      </c>
      <c r="I57" s="0" t="n">
        <v>4</v>
      </c>
      <c r="J57" s="0" t="n">
        <v>0</v>
      </c>
      <c r="K57" s="0" t="n">
        <v>54.13</v>
      </c>
      <c r="L57" s="0" t="n">
        <v>54.13</v>
      </c>
      <c r="M57" s="0" t="n">
        <v>0</v>
      </c>
      <c r="N57" s="0" t="n">
        <v>14552</v>
      </c>
      <c r="Q57" s="0" t="s">
        <v>34</v>
      </c>
      <c r="R57" s="0" t="n">
        <v>4034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Z57" s="0" t="s">
        <v>34</v>
      </c>
      <c r="AA57" s="0" t="s">
        <v>37</v>
      </c>
      <c r="AB57" s="0" t="n">
        <v>0</v>
      </c>
      <c r="AC57" s="0" t="n">
        <v>0</v>
      </c>
    </row>
    <row r="58" customFormat="false" ht="15" hidden="false" customHeight="false" outlineLevel="0" collapsed="false">
      <c r="A58" s="0" t="n">
        <v>259</v>
      </c>
      <c r="B58" s="0" t="s">
        <v>29</v>
      </c>
      <c r="C58" s="0" t="s">
        <v>47</v>
      </c>
      <c r="D58" s="0" t="s">
        <v>31</v>
      </c>
      <c r="E58" s="0" t="s">
        <v>32</v>
      </c>
      <c r="H58" s="0" t="n">
        <v>4</v>
      </c>
      <c r="I58" s="0" t="n">
        <v>4</v>
      </c>
      <c r="J58" s="0" t="n">
        <v>0</v>
      </c>
      <c r="K58" s="0" t="n">
        <v>60.98</v>
      </c>
      <c r="L58" s="0" t="n">
        <v>60.06</v>
      </c>
      <c r="M58" s="0" t="n">
        <v>-0.92</v>
      </c>
      <c r="N58" s="0" t="n">
        <v>13549</v>
      </c>
      <c r="Q58" s="0" t="s">
        <v>33</v>
      </c>
      <c r="R58" s="0" t="n">
        <v>4034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Z58" s="0" t="s">
        <v>34</v>
      </c>
      <c r="AA58" s="0" t="s">
        <v>35</v>
      </c>
      <c r="AB58" s="0" t="n">
        <v>1</v>
      </c>
      <c r="AC58" s="0" t="n">
        <v>0</v>
      </c>
    </row>
    <row r="59" customFormat="false" ht="15" hidden="false" customHeight="false" outlineLevel="0" collapsed="false">
      <c r="A59" s="0" t="n">
        <v>263</v>
      </c>
      <c r="B59" s="0" t="s">
        <v>29</v>
      </c>
      <c r="C59" s="0" t="s">
        <v>30</v>
      </c>
      <c r="D59" s="0" t="s">
        <v>31</v>
      </c>
      <c r="E59" s="0" t="s">
        <v>32</v>
      </c>
      <c r="H59" s="0" t="n">
        <v>6</v>
      </c>
      <c r="I59" s="0" t="n">
        <v>6</v>
      </c>
      <c r="J59" s="0" t="n">
        <v>0</v>
      </c>
      <c r="K59" s="0" t="n">
        <v>58.55</v>
      </c>
      <c r="L59" s="0" t="n">
        <v>51.8</v>
      </c>
      <c r="M59" s="0" t="n">
        <v>-6.75</v>
      </c>
      <c r="N59" s="0" t="n">
        <v>13550</v>
      </c>
      <c r="Q59" s="0" t="s">
        <v>33</v>
      </c>
      <c r="R59" s="0" t="n">
        <v>4034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Z59" s="0" t="s">
        <v>34</v>
      </c>
      <c r="AA59" s="0" t="s">
        <v>37</v>
      </c>
      <c r="AB59" s="0" t="n">
        <v>0</v>
      </c>
      <c r="AC59" s="0" t="n">
        <v>0</v>
      </c>
    </row>
    <row r="60" customFormat="false" ht="15" hidden="false" customHeight="false" outlineLevel="0" collapsed="false">
      <c r="A60" s="0" t="n">
        <v>265</v>
      </c>
      <c r="B60" s="0" t="s">
        <v>36</v>
      </c>
      <c r="C60" s="0" t="s">
        <v>45</v>
      </c>
      <c r="D60" s="0" t="s">
        <v>31</v>
      </c>
      <c r="E60" s="0" t="s">
        <v>32</v>
      </c>
      <c r="H60" s="0" t="n">
        <v>7</v>
      </c>
      <c r="I60" s="0" t="n">
        <v>4</v>
      </c>
      <c r="J60" s="0" t="n">
        <v>-3</v>
      </c>
      <c r="K60" s="0" t="n">
        <v>30.88</v>
      </c>
      <c r="L60" s="0" t="n">
        <v>44.35</v>
      </c>
      <c r="M60" s="0" t="n">
        <v>13.47</v>
      </c>
      <c r="N60" s="0" t="n">
        <v>27080</v>
      </c>
      <c r="Q60" s="0" t="s">
        <v>33</v>
      </c>
      <c r="R60" s="0" t="n">
        <v>4040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Z60" s="0" t="s">
        <v>33</v>
      </c>
      <c r="AA60" s="0" t="s">
        <v>40</v>
      </c>
      <c r="AB60" s="0" t="n">
        <v>0</v>
      </c>
      <c r="AC60" s="0" t="n">
        <v>0</v>
      </c>
    </row>
    <row r="61" customFormat="false" ht="15" hidden="false" customHeight="false" outlineLevel="0" collapsed="false">
      <c r="A61" s="0" t="n">
        <v>270</v>
      </c>
      <c r="B61" s="0" t="s">
        <v>29</v>
      </c>
      <c r="C61" s="0" t="s">
        <v>44</v>
      </c>
      <c r="D61" s="0" t="s">
        <v>31</v>
      </c>
      <c r="E61" s="0" t="s">
        <v>32</v>
      </c>
      <c r="H61" s="0" t="n">
        <v>3</v>
      </c>
      <c r="I61" s="0" t="n">
        <v>3</v>
      </c>
      <c r="J61" s="0" t="n">
        <v>0</v>
      </c>
      <c r="K61" s="0" t="n">
        <v>62.14</v>
      </c>
      <c r="L61" s="0" t="n">
        <v>60.91</v>
      </c>
      <c r="M61" s="0" t="n">
        <v>-1.23</v>
      </c>
      <c r="N61" s="0" t="n">
        <v>11542</v>
      </c>
      <c r="Q61" s="0" t="s">
        <v>33</v>
      </c>
      <c r="R61" s="0" t="n">
        <v>4040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Z61" s="0" t="s">
        <v>34</v>
      </c>
      <c r="AA61" s="0" t="s">
        <v>37</v>
      </c>
      <c r="AB61" s="0" t="n">
        <v>0</v>
      </c>
      <c r="AC61" s="0" t="n">
        <v>0</v>
      </c>
    </row>
    <row r="62" customFormat="false" ht="15" hidden="false" customHeight="false" outlineLevel="0" collapsed="false">
      <c r="A62" s="0" t="n">
        <v>274</v>
      </c>
      <c r="B62" s="0" t="s">
        <v>29</v>
      </c>
      <c r="C62" s="0" t="s">
        <v>30</v>
      </c>
      <c r="D62" s="0" t="s">
        <v>31</v>
      </c>
      <c r="E62" s="0" t="s">
        <v>32</v>
      </c>
      <c r="H62" s="0" t="n">
        <v>10</v>
      </c>
      <c r="I62" s="0" t="n">
        <v>10</v>
      </c>
      <c r="J62" s="0" t="n">
        <v>0</v>
      </c>
      <c r="K62" s="0" t="n">
        <v>36.21</v>
      </c>
      <c r="L62" s="0" t="n">
        <v>18.97</v>
      </c>
      <c r="M62" s="0" t="n">
        <v>-17.24</v>
      </c>
      <c r="N62" s="0" t="n">
        <v>57165</v>
      </c>
      <c r="Q62" s="0" t="s">
        <v>33</v>
      </c>
      <c r="R62" s="0" t="n">
        <v>4040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Z62" s="0" t="s">
        <v>33</v>
      </c>
      <c r="AA62" s="0" t="s">
        <v>40</v>
      </c>
      <c r="AB62" s="0" t="n">
        <v>0</v>
      </c>
      <c r="AC62" s="0" t="n">
        <v>0</v>
      </c>
    </row>
    <row r="63" customFormat="false" ht="15" hidden="false" customHeight="false" outlineLevel="0" collapsed="false">
      <c r="A63" s="0" t="n">
        <v>275</v>
      </c>
      <c r="B63" s="0" t="s">
        <v>42</v>
      </c>
      <c r="C63" s="0" t="s">
        <v>38</v>
      </c>
      <c r="D63" s="0" t="s">
        <v>31</v>
      </c>
      <c r="E63" s="0" t="s">
        <v>32</v>
      </c>
      <c r="H63" s="0" t="n">
        <v>1</v>
      </c>
      <c r="I63" s="0" t="n">
        <v>1</v>
      </c>
      <c r="J63" s="0" t="n">
        <v>0</v>
      </c>
      <c r="K63" s="0" t="n">
        <v>102.46</v>
      </c>
      <c r="L63" s="0" t="n">
        <v>102.46</v>
      </c>
      <c r="M63" s="0" t="n">
        <v>0</v>
      </c>
      <c r="N63" s="0" t="n">
        <v>4524</v>
      </c>
      <c r="Q63" s="0" t="s">
        <v>33</v>
      </c>
      <c r="R63" s="0" t="n">
        <v>4040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Z63" s="0" t="s">
        <v>34</v>
      </c>
      <c r="AA63" s="0" t="s">
        <v>37</v>
      </c>
      <c r="AB63" s="0" t="n">
        <v>0</v>
      </c>
      <c r="AC63" s="0" t="n">
        <v>0</v>
      </c>
    </row>
    <row r="64" customFormat="false" ht="15" hidden="false" customHeight="false" outlineLevel="0" collapsed="false">
      <c r="A64" s="0" t="n">
        <v>292</v>
      </c>
      <c r="B64" s="0" t="s">
        <v>29</v>
      </c>
      <c r="C64" s="0" t="s">
        <v>39</v>
      </c>
      <c r="D64" s="0" t="s">
        <v>31</v>
      </c>
      <c r="E64" s="0" t="s">
        <v>32</v>
      </c>
      <c r="H64" s="0" t="n">
        <v>2</v>
      </c>
      <c r="I64" s="0" t="n">
        <v>2</v>
      </c>
      <c r="J64" s="0" t="n">
        <v>0</v>
      </c>
      <c r="K64" s="0" t="n">
        <v>72.67</v>
      </c>
      <c r="L64" s="0" t="n">
        <v>65.38</v>
      </c>
      <c r="M64" s="0" t="n">
        <v>-7.29</v>
      </c>
      <c r="N64" s="0" t="n">
        <v>10539</v>
      </c>
      <c r="Q64" s="0" t="s">
        <v>33</v>
      </c>
      <c r="R64" s="0" t="n">
        <v>4040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Z64" s="0" t="s">
        <v>34</v>
      </c>
      <c r="AA64" s="0" t="s">
        <v>37</v>
      </c>
      <c r="AB64" s="0" t="n">
        <v>0</v>
      </c>
      <c r="AC64" s="0" t="n">
        <v>0</v>
      </c>
    </row>
    <row r="65" customFormat="false" ht="15" hidden="false" customHeight="false" outlineLevel="0" collapsed="false">
      <c r="A65" s="0" t="n">
        <v>293</v>
      </c>
      <c r="B65" s="0" t="s">
        <v>29</v>
      </c>
      <c r="C65" s="0" t="s">
        <v>46</v>
      </c>
      <c r="D65" s="0" t="s">
        <v>31</v>
      </c>
      <c r="E65" s="0" t="s">
        <v>32</v>
      </c>
      <c r="H65" s="0" t="n">
        <v>10</v>
      </c>
      <c r="I65" s="0" t="n">
        <v>10</v>
      </c>
      <c r="J65" s="0" t="n">
        <v>0</v>
      </c>
      <c r="K65" s="0" t="n">
        <v>32.33</v>
      </c>
      <c r="L65" s="0" t="n">
        <v>32.33</v>
      </c>
      <c r="M65" s="0" t="n">
        <v>0</v>
      </c>
      <c r="N65" s="0" t="n">
        <v>37104</v>
      </c>
      <c r="Q65" s="0" t="s">
        <v>33</v>
      </c>
      <c r="R65" s="0" t="n">
        <v>4040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Z65" s="0" t="s">
        <v>34</v>
      </c>
      <c r="AA65" s="0" t="s">
        <v>37</v>
      </c>
      <c r="AB65" s="0" t="n">
        <v>0</v>
      </c>
      <c r="AC65" s="0" t="n">
        <v>0</v>
      </c>
    </row>
    <row r="66" customFormat="false" ht="15" hidden="false" customHeight="false" outlineLevel="0" collapsed="false">
      <c r="A66" s="0" t="n">
        <v>300</v>
      </c>
      <c r="B66" s="0" t="s">
        <v>36</v>
      </c>
      <c r="C66" s="0" t="s">
        <v>46</v>
      </c>
      <c r="D66" s="0" t="s">
        <v>31</v>
      </c>
      <c r="E66" s="0" t="s">
        <v>32</v>
      </c>
      <c r="H66" s="0" t="n">
        <v>17</v>
      </c>
      <c r="I66" s="0" t="n">
        <v>10</v>
      </c>
      <c r="J66" s="0" t="n">
        <v>-7</v>
      </c>
      <c r="K66" s="0" t="n">
        <v>11.7</v>
      </c>
      <c r="L66" s="0" t="n">
        <v>9.5</v>
      </c>
      <c r="M66" s="0" t="n">
        <v>-2.2</v>
      </c>
      <c r="N66" s="0" t="n">
        <v>65665</v>
      </c>
      <c r="Q66" s="0" t="s">
        <v>33</v>
      </c>
      <c r="R66" s="0" t="n">
        <v>4054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Z66" s="0" t="s">
        <v>33</v>
      </c>
      <c r="AA66" s="0" t="s">
        <v>40</v>
      </c>
      <c r="AB66" s="0" t="n">
        <v>0</v>
      </c>
      <c r="AC66" s="0" t="n">
        <v>0</v>
      </c>
    </row>
    <row r="67" customFormat="false" ht="15" hidden="false" customHeight="false" outlineLevel="0" collapsed="false">
      <c r="A67" s="0" t="n">
        <v>301</v>
      </c>
      <c r="B67" s="0" t="s">
        <v>29</v>
      </c>
      <c r="C67" s="0" t="s">
        <v>41</v>
      </c>
      <c r="D67" s="0" t="s">
        <v>49</v>
      </c>
      <c r="E67" s="0" t="s">
        <v>50</v>
      </c>
      <c r="H67" s="0" t="n">
        <v>6</v>
      </c>
      <c r="I67" s="0" t="n">
        <v>6</v>
      </c>
      <c r="J67" s="0" t="n">
        <v>0</v>
      </c>
      <c r="K67" s="0" t="n">
        <v>45.83</v>
      </c>
      <c r="L67" s="0" t="n">
        <v>45.83</v>
      </c>
      <c r="M67" s="0" t="n">
        <v>0</v>
      </c>
      <c r="N67" s="0" t="n">
        <v>20065</v>
      </c>
      <c r="Q67" s="0" t="s">
        <v>34</v>
      </c>
      <c r="R67" s="0" t="n">
        <v>4054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Z67" s="0" t="s">
        <v>34</v>
      </c>
      <c r="AA67" s="0" t="s">
        <v>37</v>
      </c>
      <c r="AB67" s="0" t="n">
        <v>0</v>
      </c>
      <c r="AC67" s="0" t="n">
        <v>0</v>
      </c>
    </row>
    <row r="68" customFormat="false" ht="15" hidden="false" customHeight="false" outlineLevel="0" collapsed="false">
      <c r="A68" s="0" t="n">
        <v>302</v>
      </c>
      <c r="B68" s="0" t="s">
        <v>29</v>
      </c>
      <c r="C68" s="0" t="s">
        <v>38</v>
      </c>
      <c r="D68" s="0" t="s">
        <v>31</v>
      </c>
      <c r="E68" s="0" t="s">
        <v>32</v>
      </c>
      <c r="H68" s="0" t="n">
        <v>1</v>
      </c>
      <c r="I68" s="0" t="n">
        <v>1</v>
      </c>
      <c r="J68" s="0" t="n">
        <v>0</v>
      </c>
      <c r="K68" s="0" t="n">
        <v>107.23</v>
      </c>
      <c r="L68" s="0" t="n">
        <v>107.23</v>
      </c>
      <c r="M68" s="0" t="n">
        <v>0</v>
      </c>
      <c r="N68" s="0" t="n">
        <v>4023</v>
      </c>
      <c r="Q68" s="0" t="s">
        <v>33</v>
      </c>
      <c r="R68" s="0" t="n">
        <v>4054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Z68" s="0" t="s">
        <v>34</v>
      </c>
      <c r="AA68" s="0" t="s">
        <v>37</v>
      </c>
      <c r="AB68" s="0" t="n">
        <v>0</v>
      </c>
      <c r="AC68" s="0" t="n">
        <v>0</v>
      </c>
    </row>
    <row r="69" customFormat="false" ht="15" hidden="false" customHeight="false" outlineLevel="0" collapsed="false">
      <c r="A69" s="0" t="n">
        <v>305</v>
      </c>
      <c r="B69" s="0" t="s">
        <v>29</v>
      </c>
      <c r="C69" s="0" t="s">
        <v>46</v>
      </c>
      <c r="D69" s="0" t="s">
        <v>31</v>
      </c>
      <c r="E69" s="0" t="s">
        <v>32</v>
      </c>
      <c r="H69" s="0" t="n">
        <v>4</v>
      </c>
      <c r="I69" s="0" t="n">
        <v>5</v>
      </c>
      <c r="J69" s="0" t="n">
        <v>1</v>
      </c>
      <c r="K69" s="0" t="n">
        <v>60.15</v>
      </c>
      <c r="L69" s="0" t="n">
        <v>53.84</v>
      </c>
      <c r="M69" s="0" t="n">
        <v>-6.31</v>
      </c>
      <c r="N69" s="0" t="n">
        <v>18060</v>
      </c>
      <c r="Q69" s="0" t="s">
        <v>33</v>
      </c>
      <c r="R69" s="0" t="n">
        <v>4054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Z69" s="0" t="s">
        <v>33</v>
      </c>
      <c r="AA69" s="0" t="s">
        <v>40</v>
      </c>
      <c r="AB69" s="0" t="n">
        <v>0</v>
      </c>
      <c r="AC69" s="0" t="n">
        <v>0</v>
      </c>
    </row>
    <row r="70" customFormat="false" ht="15" hidden="false" customHeight="false" outlineLevel="0" collapsed="false">
      <c r="A70" s="0" t="n">
        <v>306</v>
      </c>
      <c r="B70" s="0" t="s">
        <v>29</v>
      </c>
      <c r="C70" s="0" t="s">
        <v>41</v>
      </c>
      <c r="D70" s="0" t="s">
        <v>31</v>
      </c>
      <c r="E70" s="0" t="s">
        <v>32</v>
      </c>
      <c r="H70" s="0" t="n">
        <v>5</v>
      </c>
      <c r="I70" s="0" t="n">
        <v>6</v>
      </c>
      <c r="J70" s="0" t="n">
        <v>1</v>
      </c>
      <c r="K70" s="0" t="n">
        <v>41.88</v>
      </c>
      <c r="L70" s="0" t="n">
        <v>40.34</v>
      </c>
      <c r="M70" s="0" t="n">
        <v>-1.54</v>
      </c>
      <c r="N70" s="0" t="n">
        <v>27071</v>
      </c>
      <c r="Q70" s="0" t="s">
        <v>33</v>
      </c>
      <c r="R70" s="0" t="n">
        <v>4054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Z70" s="0" t="s">
        <v>34</v>
      </c>
      <c r="AA70" s="0" t="s">
        <v>37</v>
      </c>
      <c r="AB70" s="0" t="n">
        <v>0</v>
      </c>
      <c r="AC70" s="0" t="n">
        <v>0</v>
      </c>
    </row>
    <row r="71" customFormat="false" ht="15" hidden="false" customHeight="false" outlineLevel="0" collapsed="false">
      <c r="A71" s="0" t="n">
        <v>308</v>
      </c>
      <c r="B71" s="0" t="s">
        <v>29</v>
      </c>
      <c r="C71" s="0" t="s">
        <v>38</v>
      </c>
      <c r="D71" s="0" t="s">
        <v>31</v>
      </c>
      <c r="E71" s="0" t="s">
        <v>32</v>
      </c>
      <c r="H71" s="0" t="n">
        <v>5</v>
      </c>
      <c r="I71" s="0" t="n">
        <v>5</v>
      </c>
      <c r="J71" s="0" t="n">
        <v>0</v>
      </c>
      <c r="K71" s="0" t="n">
        <v>58.41</v>
      </c>
      <c r="L71" s="0" t="n">
        <v>58.41</v>
      </c>
      <c r="M71" s="0" t="n">
        <v>0</v>
      </c>
      <c r="N71" s="0" t="n">
        <v>15048</v>
      </c>
      <c r="Q71" s="0" t="s">
        <v>33</v>
      </c>
      <c r="R71" s="0" t="n">
        <v>4054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Z71" s="0" t="s">
        <v>33</v>
      </c>
      <c r="AA71" s="0" t="s">
        <v>40</v>
      </c>
      <c r="AB71" s="0" t="n">
        <v>0</v>
      </c>
      <c r="AC71" s="0" t="n">
        <v>0</v>
      </c>
    </row>
    <row r="72" customFormat="false" ht="15" hidden="false" customHeight="false" outlineLevel="0" collapsed="false">
      <c r="A72" s="0" t="n">
        <v>311</v>
      </c>
      <c r="B72" s="0" t="s">
        <v>29</v>
      </c>
      <c r="C72" s="0" t="s">
        <v>30</v>
      </c>
      <c r="D72" s="0" t="s">
        <v>31</v>
      </c>
      <c r="E72" s="0" t="s">
        <v>32</v>
      </c>
      <c r="H72" s="0" t="n">
        <v>4</v>
      </c>
      <c r="I72" s="0" t="n">
        <v>5</v>
      </c>
      <c r="J72" s="0" t="n">
        <v>1</v>
      </c>
      <c r="K72" s="0" t="n">
        <v>53.4</v>
      </c>
      <c r="L72" s="0" t="n">
        <v>46.54</v>
      </c>
      <c r="M72" s="0" t="n">
        <v>-6.86</v>
      </c>
      <c r="N72" s="0" t="n">
        <v>19564</v>
      </c>
      <c r="Q72" s="0" t="s">
        <v>33</v>
      </c>
      <c r="R72" s="0" t="n">
        <v>4054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Z72" s="0" t="s">
        <v>34</v>
      </c>
      <c r="AA72" s="0" t="s">
        <v>35</v>
      </c>
      <c r="AB72" s="0" t="n">
        <v>1</v>
      </c>
      <c r="AC72" s="0" t="n">
        <v>0</v>
      </c>
    </row>
    <row r="73" customFormat="false" ht="15" hidden="false" customHeight="false" outlineLevel="0" collapsed="false">
      <c r="A73" s="0" t="n">
        <v>320</v>
      </c>
      <c r="B73" s="0" t="s">
        <v>29</v>
      </c>
      <c r="C73" s="0" t="s">
        <v>45</v>
      </c>
      <c r="D73" s="0" t="s">
        <v>31</v>
      </c>
      <c r="E73" s="0" t="s">
        <v>32</v>
      </c>
      <c r="H73" s="0" t="n">
        <v>2</v>
      </c>
      <c r="I73" s="0" t="n">
        <v>4</v>
      </c>
      <c r="J73" s="0" t="n">
        <v>2</v>
      </c>
      <c r="K73" s="0" t="n">
        <v>54.62</v>
      </c>
      <c r="L73" s="0" t="n">
        <v>37.44</v>
      </c>
      <c r="M73" s="0" t="n">
        <v>-17.18</v>
      </c>
      <c r="N73" s="0" t="n">
        <v>27093</v>
      </c>
      <c r="Q73" s="0" t="s">
        <v>33</v>
      </c>
      <c r="R73" s="0" t="n">
        <v>4054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Z73" s="0" t="s">
        <v>34</v>
      </c>
      <c r="AA73" s="0" t="s">
        <v>37</v>
      </c>
      <c r="AB73" s="0" t="n">
        <v>0</v>
      </c>
      <c r="AC73" s="0" t="n">
        <v>0</v>
      </c>
    </row>
    <row r="74" customFormat="false" ht="15" hidden="false" customHeight="false" outlineLevel="0" collapsed="false">
      <c r="A74" s="0" t="n">
        <v>334</v>
      </c>
      <c r="B74" s="0" t="s">
        <v>29</v>
      </c>
      <c r="C74" s="0" t="s">
        <v>38</v>
      </c>
      <c r="D74" s="0" t="s">
        <v>31</v>
      </c>
      <c r="E74" s="0" t="s">
        <v>32</v>
      </c>
      <c r="H74" s="0" t="n">
        <v>7</v>
      </c>
      <c r="I74" s="0" t="n">
        <v>7</v>
      </c>
      <c r="J74" s="0" t="n">
        <v>0</v>
      </c>
      <c r="K74" s="0" t="n">
        <v>15.01</v>
      </c>
      <c r="L74" s="0" t="n">
        <v>15.01</v>
      </c>
      <c r="M74" s="0" t="n">
        <v>0</v>
      </c>
      <c r="N74" s="0" t="n">
        <v>48138</v>
      </c>
      <c r="Q74" s="0" t="s">
        <v>33</v>
      </c>
      <c r="R74" s="0" t="n">
        <v>4054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Z74" s="0" t="s">
        <v>34</v>
      </c>
      <c r="AA74" s="0" t="s">
        <v>35</v>
      </c>
      <c r="AB74" s="0" t="n">
        <v>1</v>
      </c>
      <c r="AC74" s="0" t="n">
        <v>0</v>
      </c>
    </row>
    <row r="75" customFormat="false" ht="15" hidden="false" customHeight="false" outlineLevel="0" collapsed="false">
      <c r="A75" s="0" t="n">
        <v>354</v>
      </c>
      <c r="B75" s="0" t="s">
        <v>29</v>
      </c>
      <c r="C75" s="0" t="s">
        <v>47</v>
      </c>
      <c r="D75" s="0" t="s">
        <v>31</v>
      </c>
      <c r="E75" s="0" t="s">
        <v>32</v>
      </c>
      <c r="H75" s="0" t="n">
        <v>2</v>
      </c>
      <c r="I75" s="0" t="n">
        <v>2</v>
      </c>
      <c r="J75" s="0" t="n">
        <v>0</v>
      </c>
      <c r="K75" s="0" t="n">
        <v>76.81</v>
      </c>
      <c r="L75" s="0" t="n">
        <v>79.04</v>
      </c>
      <c r="M75" s="0" t="n">
        <v>2.23</v>
      </c>
      <c r="N75" s="0" t="n">
        <v>6530</v>
      </c>
      <c r="Q75" s="0" t="s">
        <v>33</v>
      </c>
      <c r="R75" s="0" t="n">
        <v>4054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Z75" s="0" t="s">
        <v>34</v>
      </c>
      <c r="AA75" s="0" t="s">
        <v>37</v>
      </c>
      <c r="AB75" s="0" t="n">
        <v>0</v>
      </c>
      <c r="AC75" s="0" t="n">
        <v>0</v>
      </c>
    </row>
    <row r="76" customFormat="false" ht="15" hidden="false" customHeight="false" outlineLevel="0" collapsed="false">
      <c r="A76" s="0" t="n">
        <v>359</v>
      </c>
      <c r="B76" s="0" t="s">
        <v>29</v>
      </c>
      <c r="C76" s="0" t="s">
        <v>38</v>
      </c>
      <c r="D76" s="0" t="s">
        <v>31</v>
      </c>
      <c r="E76" s="0" t="s">
        <v>32</v>
      </c>
      <c r="H76" s="0" t="n">
        <v>5</v>
      </c>
      <c r="I76" s="0" t="n">
        <v>5</v>
      </c>
      <c r="J76" s="0" t="n">
        <v>0</v>
      </c>
      <c r="K76" s="0" t="n">
        <v>61.42</v>
      </c>
      <c r="L76" s="0" t="n">
        <v>61.52</v>
      </c>
      <c r="M76" s="0" t="n">
        <v>0.1</v>
      </c>
      <c r="N76" s="0" t="n">
        <v>13041</v>
      </c>
      <c r="Q76" s="0" t="s">
        <v>33</v>
      </c>
      <c r="R76" s="0" t="n">
        <v>4054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Z76" s="0" t="s">
        <v>34</v>
      </c>
      <c r="AA76" s="0" t="s">
        <v>37</v>
      </c>
      <c r="AB76" s="0" t="n">
        <v>0</v>
      </c>
      <c r="AC76" s="0" t="n">
        <v>0</v>
      </c>
    </row>
    <row r="77" customFormat="false" ht="15" hidden="false" customHeight="false" outlineLevel="0" collapsed="false">
      <c r="A77" s="0" t="n">
        <v>366</v>
      </c>
      <c r="B77" s="0" t="s">
        <v>42</v>
      </c>
      <c r="C77" s="0" t="s">
        <v>30</v>
      </c>
      <c r="D77" s="0" t="s">
        <v>31</v>
      </c>
      <c r="E77" s="0" t="s">
        <v>32</v>
      </c>
      <c r="H77" s="0" t="n">
        <v>5</v>
      </c>
      <c r="I77" s="0" t="n">
        <v>5</v>
      </c>
      <c r="J77" s="0" t="n">
        <v>0</v>
      </c>
      <c r="K77" s="0" t="n">
        <v>58.13</v>
      </c>
      <c r="L77" s="0" t="n">
        <v>54.55</v>
      </c>
      <c r="M77" s="0" t="n">
        <v>-3.58</v>
      </c>
      <c r="N77" s="0" t="n">
        <v>14554</v>
      </c>
      <c r="Q77" s="0" t="s">
        <v>33</v>
      </c>
      <c r="R77" s="0" t="n">
        <v>4054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Z77" s="0" t="s">
        <v>34</v>
      </c>
      <c r="AA77" s="0" t="s">
        <v>37</v>
      </c>
      <c r="AB77" s="0" t="n">
        <v>0</v>
      </c>
      <c r="AC77" s="0" t="n">
        <v>0</v>
      </c>
    </row>
    <row r="78" customFormat="false" ht="15" hidden="false" customHeight="false" outlineLevel="0" collapsed="false">
      <c r="A78" s="0" t="n">
        <v>372</v>
      </c>
      <c r="B78" s="0" t="s">
        <v>42</v>
      </c>
      <c r="C78" s="0" t="s">
        <v>39</v>
      </c>
      <c r="D78" s="0" t="s">
        <v>31</v>
      </c>
      <c r="E78" s="0" t="s">
        <v>32</v>
      </c>
      <c r="H78" s="0" t="n">
        <v>3</v>
      </c>
      <c r="I78" s="0" t="n">
        <v>3</v>
      </c>
      <c r="J78" s="0" t="n">
        <v>0</v>
      </c>
      <c r="K78" s="0" t="n">
        <v>83.86</v>
      </c>
      <c r="L78" s="0" t="n">
        <v>74.37</v>
      </c>
      <c r="M78" s="0" t="n">
        <v>-9.49</v>
      </c>
      <c r="N78" s="0" t="n">
        <v>11540</v>
      </c>
      <c r="Q78" s="0" t="s">
        <v>33</v>
      </c>
      <c r="R78" s="0" t="n">
        <v>4054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Z78" s="0" t="s">
        <v>33</v>
      </c>
      <c r="AA78" s="0" t="s">
        <v>40</v>
      </c>
      <c r="AB78" s="0" t="n">
        <v>0</v>
      </c>
      <c r="AC78" s="0" t="n">
        <v>0</v>
      </c>
    </row>
    <row r="79" customFormat="false" ht="15" hidden="false" customHeight="false" outlineLevel="0" collapsed="false">
      <c r="A79" s="0" t="n">
        <v>383</v>
      </c>
      <c r="B79" s="0" t="s">
        <v>29</v>
      </c>
      <c r="C79" s="0" t="s">
        <v>39</v>
      </c>
      <c r="D79" s="0" t="s">
        <v>31</v>
      </c>
      <c r="E79" s="0" t="s">
        <v>32</v>
      </c>
      <c r="H79" s="0" t="n">
        <v>2</v>
      </c>
      <c r="I79" s="0" t="n">
        <v>2</v>
      </c>
      <c r="J79" s="0" t="n">
        <v>0</v>
      </c>
      <c r="K79" s="0" t="n">
        <v>56.35</v>
      </c>
      <c r="L79" s="0" t="n">
        <v>51.92</v>
      </c>
      <c r="M79" s="0" t="n">
        <v>-4.43</v>
      </c>
      <c r="N79" s="0" t="n">
        <v>16060</v>
      </c>
      <c r="Q79" s="0" t="s">
        <v>33</v>
      </c>
      <c r="R79" s="0" t="n">
        <v>4054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Z79" s="0" t="s">
        <v>34</v>
      </c>
      <c r="AA79" s="0" t="s">
        <v>35</v>
      </c>
      <c r="AB79" s="0" t="n">
        <v>1</v>
      </c>
      <c r="AC79" s="0" t="n">
        <v>0</v>
      </c>
    </row>
    <row r="80" customFormat="false" ht="15" hidden="false" customHeight="false" outlineLevel="0" collapsed="false">
      <c r="A80" s="0" t="n">
        <v>391</v>
      </c>
      <c r="B80" s="0" t="s">
        <v>42</v>
      </c>
      <c r="C80" s="0" t="s">
        <v>30</v>
      </c>
      <c r="D80" s="0" t="s">
        <v>31</v>
      </c>
      <c r="E80" s="0" t="s">
        <v>32</v>
      </c>
      <c r="H80" s="0" t="n">
        <v>9</v>
      </c>
      <c r="I80" s="0" t="n">
        <v>10</v>
      </c>
      <c r="J80" s="0" t="n">
        <v>1</v>
      </c>
      <c r="K80" s="0" t="n">
        <v>50.22</v>
      </c>
      <c r="L80" s="0" t="n">
        <v>46.12</v>
      </c>
      <c r="M80" s="0" t="n">
        <v>-4.1</v>
      </c>
      <c r="N80" s="0" t="n">
        <v>22072</v>
      </c>
      <c r="Q80" s="0" t="s">
        <v>33</v>
      </c>
      <c r="R80" s="0" t="n">
        <v>4054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Z80" s="0" t="s">
        <v>34</v>
      </c>
      <c r="AA80" s="0" t="s">
        <v>37</v>
      </c>
      <c r="AB80" s="0" t="n">
        <v>0</v>
      </c>
      <c r="AC80" s="0" t="n">
        <v>0</v>
      </c>
    </row>
    <row r="81" customFormat="false" ht="15" hidden="false" customHeight="false" outlineLevel="0" collapsed="false">
      <c r="A81" s="0" t="n">
        <v>407</v>
      </c>
      <c r="B81" s="0" t="s">
        <v>29</v>
      </c>
      <c r="C81" s="0" t="s">
        <v>38</v>
      </c>
      <c r="D81" s="0" t="s">
        <v>31</v>
      </c>
      <c r="E81" s="0" t="s">
        <v>32</v>
      </c>
      <c r="H81" s="0" t="n">
        <v>3</v>
      </c>
      <c r="I81" s="0" t="n">
        <v>3</v>
      </c>
      <c r="J81" s="0" t="n">
        <v>0</v>
      </c>
      <c r="K81" s="0" t="n">
        <v>50.64</v>
      </c>
      <c r="L81" s="0" t="n">
        <v>50.64</v>
      </c>
      <c r="M81" s="0" t="n">
        <v>0</v>
      </c>
      <c r="N81" s="0" t="n">
        <v>19557</v>
      </c>
      <c r="Q81" s="0" t="s">
        <v>33</v>
      </c>
      <c r="R81" s="0" t="n">
        <v>4054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Z81" s="0" t="s">
        <v>34</v>
      </c>
      <c r="AA81" s="0" t="s">
        <v>37</v>
      </c>
      <c r="AB81" s="0" t="n">
        <v>0</v>
      </c>
      <c r="AC81" s="0" t="n">
        <v>0</v>
      </c>
    </row>
    <row r="82" customFormat="false" ht="15" hidden="false" customHeight="false" outlineLevel="0" collapsed="false">
      <c r="A82" s="0" t="n">
        <v>424</v>
      </c>
      <c r="B82" s="0" t="s">
        <v>42</v>
      </c>
      <c r="C82" s="0" t="s">
        <v>38</v>
      </c>
      <c r="D82" s="0" t="s">
        <v>31</v>
      </c>
      <c r="E82" s="0" t="s">
        <v>32</v>
      </c>
      <c r="H82" s="0" t="n">
        <v>2</v>
      </c>
      <c r="I82" s="0" t="n">
        <v>2</v>
      </c>
      <c r="J82" s="0" t="n">
        <v>0</v>
      </c>
      <c r="K82" s="0" t="n">
        <v>83.96</v>
      </c>
      <c r="L82" s="0" t="n">
        <v>83.96</v>
      </c>
      <c r="M82" s="0" t="n">
        <v>0</v>
      </c>
      <c r="N82" s="0" t="n">
        <v>7033</v>
      </c>
      <c r="Q82" s="0" t="s">
        <v>33</v>
      </c>
      <c r="R82" s="0" t="n">
        <v>4054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Z82" s="0" t="s">
        <v>34</v>
      </c>
      <c r="AA82" s="0" t="s">
        <v>37</v>
      </c>
      <c r="AB82" s="0" t="n">
        <v>0</v>
      </c>
      <c r="AC82" s="0" t="n">
        <v>0</v>
      </c>
    </row>
    <row r="83" customFormat="false" ht="15" hidden="false" customHeight="false" outlineLevel="0" collapsed="false">
      <c r="A83" s="0" t="n">
        <v>427</v>
      </c>
      <c r="B83" s="0" t="s">
        <v>29</v>
      </c>
      <c r="C83" s="0" t="s">
        <v>38</v>
      </c>
      <c r="D83" s="0" t="s">
        <v>31</v>
      </c>
      <c r="E83" s="0" t="s">
        <v>32</v>
      </c>
      <c r="H83" s="0" t="n">
        <v>4</v>
      </c>
      <c r="I83" s="0" t="n">
        <v>4</v>
      </c>
      <c r="J83" s="0" t="n">
        <v>0</v>
      </c>
      <c r="K83" s="0" t="n">
        <v>63.46</v>
      </c>
      <c r="L83" s="0" t="n">
        <v>63.46</v>
      </c>
      <c r="M83" s="0" t="n">
        <v>0</v>
      </c>
      <c r="N83" s="0" t="n">
        <v>13043</v>
      </c>
      <c r="Q83" s="0" t="s">
        <v>33</v>
      </c>
      <c r="R83" s="0" t="n">
        <v>4054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Z83" s="0" t="s">
        <v>33</v>
      </c>
      <c r="AA83" s="0" t="s">
        <v>40</v>
      </c>
      <c r="AB83" s="0" t="n">
        <v>0</v>
      </c>
      <c r="AC83" s="0" t="n">
        <v>0</v>
      </c>
    </row>
    <row r="84" customFormat="false" ht="15" hidden="false" customHeight="false" outlineLevel="0" collapsed="false">
      <c r="A84" s="0" t="n">
        <v>429</v>
      </c>
      <c r="B84" s="0" t="s">
        <v>36</v>
      </c>
      <c r="C84" s="0" t="s">
        <v>30</v>
      </c>
      <c r="D84" s="0" t="s">
        <v>31</v>
      </c>
      <c r="E84" s="0" t="s">
        <v>32</v>
      </c>
      <c r="H84" s="0" t="n">
        <v>6</v>
      </c>
      <c r="I84" s="0" t="n">
        <v>6</v>
      </c>
      <c r="J84" s="0" t="n">
        <v>0</v>
      </c>
      <c r="K84" s="0" t="n">
        <v>42.53</v>
      </c>
      <c r="L84" s="0" t="n">
        <v>40.74</v>
      </c>
      <c r="M84" s="0" t="n">
        <v>-1.79</v>
      </c>
      <c r="N84" s="0" t="n">
        <v>26567</v>
      </c>
      <c r="Q84" s="0" t="s">
        <v>33</v>
      </c>
      <c r="R84" s="0" t="n">
        <v>4054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Z84" s="0" t="s">
        <v>34</v>
      </c>
      <c r="AA84" s="0" t="s">
        <v>37</v>
      </c>
      <c r="AB84" s="0" t="n">
        <v>0</v>
      </c>
      <c r="AC84" s="0" t="n">
        <v>0</v>
      </c>
    </row>
    <row r="85" customFormat="false" ht="15" hidden="false" customHeight="false" outlineLevel="0" collapsed="false">
      <c r="A85" s="0" t="n">
        <v>431</v>
      </c>
      <c r="B85" s="0" t="s">
        <v>42</v>
      </c>
      <c r="C85" s="0" t="s">
        <v>39</v>
      </c>
      <c r="D85" s="0" t="s">
        <v>31</v>
      </c>
      <c r="E85" s="0" t="s">
        <v>32</v>
      </c>
      <c r="H85" s="0" t="n">
        <v>4</v>
      </c>
      <c r="I85" s="0" t="n">
        <v>4</v>
      </c>
      <c r="J85" s="0" t="n">
        <v>0</v>
      </c>
      <c r="K85" s="0" t="n">
        <v>56.75</v>
      </c>
      <c r="L85" s="0" t="n">
        <v>52.41</v>
      </c>
      <c r="M85" s="0" t="n">
        <v>-4.34</v>
      </c>
      <c r="N85" s="0" t="n">
        <v>18052</v>
      </c>
      <c r="Q85" s="0" t="s">
        <v>33</v>
      </c>
      <c r="R85" s="0" t="n">
        <v>4054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Z85" s="0" t="s">
        <v>34</v>
      </c>
      <c r="AA85" s="0" t="s">
        <v>37</v>
      </c>
      <c r="AB85" s="0" t="n">
        <v>0</v>
      </c>
      <c r="AC85" s="0" t="n">
        <v>0</v>
      </c>
    </row>
    <row r="86" customFormat="false" ht="15" hidden="false" customHeight="false" outlineLevel="0" collapsed="false">
      <c r="A86" s="0" t="n">
        <v>441</v>
      </c>
      <c r="B86" s="0" t="s">
        <v>36</v>
      </c>
      <c r="C86" s="0" t="s">
        <v>39</v>
      </c>
      <c r="D86" s="0" t="s">
        <v>31</v>
      </c>
      <c r="E86" s="0" t="s">
        <v>32</v>
      </c>
      <c r="H86" s="0" t="n">
        <v>2</v>
      </c>
      <c r="I86" s="0" t="n">
        <v>2</v>
      </c>
      <c r="J86" s="0" t="n">
        <v>0</v>
      </c>
      <c r="K86" s="0" t="n">
        <v>76.09</v>
      </c>
      <c r="L86" s="0" t="n">
        <v>68.2</v>
      </c>
      <c r="M86" s="0" t="n">
        <v>-7.89</v>
      </c>
      <c r="N86" s="0" t="n">
        <v>12562</v>
      </c>
      <c r="Q86" s="0" t="s">
        <v>33</v>
      </c>
      <c r="R86" s="0" t="n">
        <v>4054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Z86" s="0" t="s">
        <v>34</v>
      </c>
      <c r="AA86" s="0" t="s">
        <v>35</v>
      </c>
      <c r="AB86" s="0" t="n">
        <v>1</v>
      </c>
      <c r="AC86" s="0" t="n">
        <v>0</v>
      </c>
    </row>
    <row r="87" customFormat="false" ht="15" hidden="false" customHeight="false" outlineLevel="0" collapsed="false">
      <c r="A87" s="0" t="n">
        <v>442</v>
      </c>
      <c r="B87" s="0" t="s">
        <v>42</v>
      </c>
      <c r="C87" s="0" t="s">
        <v>51</v>
      </c>
      <c r="D87" s="0" t="s">
        <v>31</v>
      </c>
      <c r="E87" s="0" t="s">
        <v>32</v>
      </c>
      <c r="H87" s="0" t="n">
        <v>6</v>
      </c>
      <c r="I87" s="0" t="n">
        <v>5</v>
      </c>
      <c r="J87" s="0" t="n">
        <v>-1</v>
      </c>
      <c r="K87" s="0" t="n">
        <v>53.89</v>
      </c>
      <c r="L87" s="0" t="n">
        <v>60.46</v>
      </c>
      <c r="M87" s="0" t="n">
        <v>6.57</v>
      </c>
      <c r="N87" s="0" t="n">
        <v>13547</v>
      </c>
      <c r="Q87" s="0" t="s">
        <v>33</v>
      </c>
      <c r="R87" s="0" t="n">
        <v>4054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Z87" s="0" t="s">
        <v>34</v>
      </c>
      <c r="AA87" s="0" t="s">
        <v>37</v>
      </c>
      <c r="AB87" s="0" t="n">
        <v>0</v>
      </c>
      <c r="AC87" s="0" t="n">
        <v>0</v>
      </c>
    </row>
    <row r="88" customFormat="false" ht="15" hidden="false" customHeight="false" outlineLevel="0" collapsed="false">
      <c r="A88" s="0" t="n">
        <v>445</v>
      </c>
      <c r="B88" s="0" t="s">
        <v>29</v>
      </c>
      <c r="C88" s="0" t="s">
        <v>48</v>
      </c>
      <c r="D88" s="0" t="s">
        <v>31</v>
      </c>
      <c r="E88" s="0" t="s">
        <v>32</v>
      </c>
      <c r="H88" s="0" t="n">
        <v>2</v>
      </c>
      <c r="I88" s="0" t="n">
        <v>1</v>
      </c>
      <c r="J88" s="0" t="n">
        <v>-1</v>
      </c>
      <c r="K88" s="0" t="n">
        <v>72.56</v>
      </c>
      <c r="L88" s="0" t="n">
        <v>67.22</v>
      </c>
      <c r="M88" s="0" t="n">
        <v>-5.34</v>
      </c>
      <c r="N88" s="0" t="n">
        <v>10534</v>
      </c>
      <c r="Q88" s="0" t="s">
        <v>33</v>
      </c>
      <c r="R88" s="0" t="n">
        <v>4054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Z88" s="0" t="s">
        <v>33</v>
      </c>
      <c r="AA88" s="0" t="s">
        <v>40</v>
      </c>
      <c r="AB88" s="0" t="n">
        <v>0</v>
      </c>
      <c r="AC88" s="0" t="n">
        <v>0</v>
      </c>
    </row>
    <row r="89" customFormat="false" ht="15" hidden="false" customHeight="false" outlineLevel="0" collapsed="false">
      <c r="A89" s="0" t="n">
        <v>449</v>
      </c>
      <c r="B89" s="0" t="s">
        <v>36</v>
      </c>
      <c r="C89" s="0" t="s">
        <v>39</v>
      </c>
      <c r="D89" s="0" t="s">
        <v>31</v>
      </c>
      <c r="E89" s="0" t="s">
        <v>32</v>
      </c>
      <c r="H89" s="0" t="n">
        <v>5</v>
      </c>
      <c r="I89" s="0" t="n">
        <v>5</v>
      </c>
      <c r="J89" s="0" t="n">
        <v>0</v>
      </c>
      <c r="K89" s="0" t="n">
        <v>56.03</v>
      </c>
      <c r="L89" s="0" t="n">
        <v>51.29</v>
      </c>
      <c r="M89" s="0" t="n">
        <v>-4.74</v>
      </c>
      <c r="N89" s="0" t="n">
        <v>21582</v>
      </c>
      <c r="Q89" s="0" t="s">
        <v>33</v>
      </c>
      <c r="R89" s="0" t="n">
        <v>4054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Z89" s="0" t="s">
        <v>34</v>
      </c>
      <c r="AA89" s="0" t="s">
        <v>37</v>
      </c>
      <c r="AB89" s="0" t="n">
        <v>0</v>
      </c>
      <c r="AC89" s="0" t="n">
        <v>0</v>
      </c>
    </row>
    <row r="90" customFormat="false" ht="15" hidden="false" customHeight="false" outlineLevel="0" collapsed="false">
      <c r="A90" s="0" t="n">
        <v>451</v>
      </c>
      <c r="B90" s="0" t="s">
        <v>29</v>
      </c>
      <c r="C90" s="0" t="s">
        <v>43</v>
      </c>
      <c r="D90" s="0" t="s">
        <v>31</v>
      </c>
      <c r="E90" s="0" t="s">
        <v>32</v>
      </c>
      <c r="H90" s="0" t="n">
        <v>10</v>
      </c>
      <c r="I90" s="0" t="n">
        <v>10</v>
      </c>
      <c r="J90" s="0" t="n">
        <v>0</v>
      </c>
      <c r="K90" s="0" t="n">
        <v>27.5</v>
      </c>
      <c r="L90" s="0" t="n">
        <v>30.29</v>
      </c>
      <c r="M90" s="0" t="n">
        <v>2.79</v>
      </c>
      <c r="N90" s="0" t="n">
        <v>36597</v>
      </c>
      <c r="Q90" s="0" t="s">
        <v>33</v>
      </c>
      <c r="R90" s="0" t="n">
        <v>4054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Z90" s="0" t="s">
        <v>34</v>
      </c>
      <c r="AA90" s="0" t="s">
        <v>37</v>
      </c>
      <c r="AB90" s="0" t="n">
        <v>0</v>
      </c>
      <c r="AC90" s="0" t="n">
        <v>0</v>
      </c>
    </row>
    <row r="91" customFormat="false" ht="15" hidden="false" customHeight="false" outlineLevel="0" collapsed="false">
      <c r="A91" s="0" t="n">
        <v>471</v>
      </c>
      <c r="B91" s="0" t="s">
        <v>36</v>
      </c>
      <c r="C91" s="0" t="s">
        <v>30</v>
      </c>
      <c r="D91" s="0" t="s">
        <v>31</v>
      </c>
      <c r="E91" s="0" t="s">
        <v>32</v>
      </c>
      <c r="H91" s="0" t="n">
        <v>9</v>
      </c>
      <c r="I91" s="0" t="n">
        <v>9</v>
      </c>
      <c r="J91" s="0" t="n">
        <v>0</v>
      </c>
      <c r="K91" s="0" t="n">
        <v>33.33</v>
      </c>
      <c r="L91" s="0" t="n">
        <v>31.49</v>
      </c>
      <c r="M91" s="0" t="n">
        <v>-1.84</v>
      </c>
      <c r="N91" s="0" t="n">
        <v>37107</v>
      </c>
      <c r="Q91" s="0" t="s">
        <v>33</v>
      </c>
      <c r="R91" s="0" t="n">
        <v>4054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Z91" s="0" t="s">
        <v>34</v>
      </c>
      <c r="AA91" s="0" t="s">
        <v>37</v>
      </c>
      <c r="AB91" s="0" t="n">
        <v>0</v>
      </c>
      <c r="AC91" s="0" t="n">
        <v>0</v>
      </c>
    </row>
    <row r="92" customFormat="false" ht="15" hidden="false" customHeight="false" outlineLevel="0" collapsed="false">
      <c r="A92" s="0" t="n">
        <v>474</v>
      </c>
      <c r="B92" s="0" t="s">
        <v>29</v>
      </c>
      <c r="C92" s="0" t="s">
        <v>45</v>
      </c>
      <c r="D92" s="0" t="s">
        <v>31</v>
      </c>
      <c r="E92" s="0" t="s">
        <v>32</v>
      </c>
      <c r="H92" s="0" t="n">
        <v>5</v>
      </c>
      <c r="I92" s="0" t="n">
        <v>8</v>
      </c>
      <c r="J92" s="0" t="n">
        <v>3</v>
      </c>
      <c r="K92" s="0" t="n">
        <v>43.91</v>
      </c>
      <c r="L92" s="0" t="n">
        <v>33.15</v>
      </c>
      <c r="M92" s="0" t="n">
        <v>-10.76</v>
      </c>
      <c r="N92" s="0" t="n">
        <v>31595</v>
      </c>
      <c r="Q92" s="0" t="s">
        <v>33</v>
      </c>
      <c r="R92" s="0" t="n">
        <v>4054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Z92" s="0" t="s">
        <v>33</v>
      </c>
      <c r="AA92" s="0" t="s">
        <v>40</v>
      </c>
      <c r="AB92" s="0" t="n">
        <v>0</v>
      </c>
      <c r="AC92" s="0" t="n">
        <v>0</v>
      </c>
    </row>
    <row r="93" customFormat="false" ht="15" hidden="false" customHeight="false" outlineLevel="0" collapsed="false">
      <c r="A93" s="0" t="n">
        <v>477</v>
      </c>
      <c r="B93" s="0" t="s">
        <v>29</v>
      </c>
      <c r="C93" s="0" t="s">
        <v>30</v>
      </c>
      <c r="D93" s="0" t="s">
        <v>31</v>
      </c>
      <c r="E93" s="0" t="s">
        <v>32</v>
      </c>
      <c r="H93" s="0" t="n">
        <v>6</v>
      </c>
      <c r="I93" s="0" t="n">
        <v>6</v>
      </c>
      <c r="J93" s="0" t="n">
        <v>0</v>
      </c>
      <c r="K93" s="0" t="n">
        <v>54.17</v>
      </c>
      <c r="L93" s="0" t="n">
        <v>50.05</v>
      </c>
      <c r="M93" s="0" t="n">
        <v>-4.12</v>
      </c>
      <c r="N93" s="0" t="n">
        <v>18563</v>
      </c>
      <c r="Q93" s="0" t="s">
        <v>33</v>
      </c>
      <c r="R93" s="0" t="n">
        <v>4054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Z93" s="0" t="s">
        <v>34</v>
      </c>
      <c r="AA93" s="0" t="s">
        <v>37</v>
      </c>
      <c r="AB93" s="0" t="n">
        <v>0</v>
      </c>
      <c r="AC93" s="0" t="n">
        <v>0</v>
      </c>
    </row>
    <row r="94" customFormat="false" ht="15" hidden="false" customHeight="false" outlineLevel="0" collapsed="false">
      <c r="A94" s="0" t="n">
        <v>478</v>
      </c>
      <c r="B94" s="0" t="s">
        <v>42</v>
      </c>
      <c r="C94" s="0" t="s">
        <v>39</v>
      </c>
      <c r="D94" s="0" t="s">
        <v>31</v>
      </c>
      <c r="E94" s="0" t="s">
        <v>32</v>
      </c>
      <c r="H94" s="0" t="n">
        <v>3</v>
      </c>
      <c r="I94" s="0" t="n">
        <v>2</v>
      </c>
      <c r="J94" s="0" t="n">
        <v>-1</v>
      </c>
      <c r="K94" s="0" t="n">
        <v>68.77</v>
      </c>
      <c r="L94" s="0" t="n">
        <v>62.26</v>
      </c>
      <c r="M94" s="0" t="n">
        <v>-6.51</v>
      </c>
      <c r="N94" s="0" t="n">
        <v>14054</v>
      </c>
      <c r="Q94" s="0" t="s">
        <v>33</v>
      </c>
      <c r="R94" s="0" t="n">
        <v>4054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Z94" s="0" t="s">
        <v>34</v>
      </c>
      <c r="AA94" s="0" t="s">
        <v>37</v>
      </c>
      <c r="AB94" s="0" t="n">
        <v>0</v>
      </c>
      <c r="AC94" s="0" t="n">
        <v>0</v>
      </c>
    </row>
    <row r="95" customFormat="false" ht="15" hidden="false" customHeight="false" outlineLevel="0" collapsed="false">
      <c r="A95" s="0" t="n">
        <v>484</v>
      </c>
      <c r="B95" s="0" t="s">
        <v>42</v>
      </c>
      <c r="C95" s="0" t="s">
        <v>30</v>
      </c>
      <c r="D95" s="0" t="s">
        <v>31</v>
      </c>
      <c r="E95" s="0" t="s">
        <v>32</v>
      </c>
      <c r="H95" s="0" t="n">
        <v>7</v>
      </c>
      <c r="I95" s="0" t="n">
        <v>9</v>
      </c>
      <c r="J95" s="0" t="n">
        <v>2</v>
      </c>
      <c r="K95" s="0" t="n">
        <v>44.83</v>
      </c>
      <c r="L95" s="0" t="n">
        <v>38.33</v>
      </c>
      <c r="M95" s="0" t="n">
        <v>-6.5</v>
      </c>
      <c r="N95" s="0" t="n">
        <v>28087</v>
      </c>
      <c r="Q95" s="0" t="s">
        <v>33</v>
      </c>
      <c r="R95" s="0" t="n">
        <v>4054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Z95" s="0" t="s">
        <v>33</v>
      </c>
      <c r="AA95" s="0" t="s">
        <v>40</v>
      </c>
      <c r="AB95" s="0" t="n">
        <v>0</v>
      </c>
      <c r="AC95" s="0" t="n">
        <v>0</v>
      </c>
    </row>
    <row r="96" customFormat="false" ht="15" hidden="false" customHeight="false" outlineLevel="0" collapsed="false">
      <c r="A96" s="0" t="n">
        <v>487</v>
      </c>
      <c r="B96" s="0" t="s">
        <v>42</v>
      </c>
      <c r="C96" s="0" t="s">
        <v>39</v>
      </c>
      <c r="D96" s="0" t="s">
        <v>31</v>
      </c>
      <c r="E96" s="0" t="s">
        <v>32</v>
      </c>
      <c r="H96" s="0" t="n">
        <v>5</v>
      </c>
      <c r="I96" s="0" t="n">
        <v>3</v>
      </c>
      <c r="J96" s="0" t="n">
        <v>-2</v>
      </c>
      <c r="K96" s="0" t="n">
        <v>65.33</v>
      </c>
      <c r="L96" s="0" t="n">
        <v>59.41</v>
      </c>
      <c r="M96" s="0" t="n">
        <v>-5.92</v>
      </c>
      <c r="N96" s="0" t="n">
        <v>15055</v>
      </c>
      <c r="Q96" s="0" t="s">
        <v>33</v>
      </c>
      <c r="R96" s="0" t="n">
        <v>4054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Z96" s="0" t="s">
        <v>34</v>
      </c>
      <c r="AA96" s="0" t="s">
        <v>37</v>
      </c>
      <c r="AB96" s="0" t="n">
        <v>0</v>
      </c>
      <c r="AC96" s="0" t="n">
        <v>0</v>
      </c>
    </row>
    <row r="97" customFormat="false" ht="15" hidden="false" customHeight="false" outlineLevel="0" collapsed="false">
      <c r="A97" s="0" t="n">
        <v>495</v>
      </c>
      <c r="B97" s="0" t="s">
        <v>36</v>
      </c>
      <c r="C97" s="0" t="s">
        <v>41</v>
      </c>
      <c r="D97" s="0" t="s">
        <v>49</v>
      </c>
      <c r="E97" s="0" t="s">
        <v>50</v>
      </c>
      <c r="H97" s="0" t="n">
        <v>5</v>
      </c>
      <c r="I97" s="0" t="n">
        <v>5</v>
      </c>
      <c r="J97" s="0" t="n">
        <v>0</v>
      </c>
      <c r="K97" s="0" t="n">
        <v>46.49</v>
      </c>
      <c r="L97" s="0" t="n">
        <v>46.49</v>
      </c>
      <c r="M97" s="0" t="n">
        <v>0</v>
      </c>
      <c r="N97" s="0" t="n">
        <v>22071</v>
      </c>
      <c r="Q97" s="0" t="s">
        <v>34</v>
      </c>
      <c r="R97" s="0" t="n">
        <v>4054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Z97" s="0" t="s">
        <v>34</v>
      </c>
      <c r="AA97" s="0" t="s">
        <v>37</v>
      </c>
      <c r="AB97" s="0" t="n">
        <v>0</v>
      </c>
      <c r="AC97" s="0" t="n">
        <v>0</v>
      </c>
    </row>
    <row r="98" customFormat="false" ht="15" hidden="false" customHeight="false" outlineLevel="0" collapsed="false">
      <c r="A98" s="0" t="n">
        <v>499</v>
      </c>
      <c r="B98" s="0" t="s">
        <v>29</v>
      </c>
      <c r="C98" s="0" t="s">
        <v>46</v>
      </c>
      <c r="D98" s="0" t="s">
        <v>31</v>
      </c>
      <c r="E98" s="0" t="s">
        <v>32</v>
      </c>
      <c r="H98" s="0" t="n">
        <v>3</v>
      </c>
      <c r="I98" s="0" t="n">
        <v>4</v>
      </c>
      <c r="J98" s="0" t="n">
        <v>1</v>
      </c>
      <c r="K98" s="0" t="n">
        <v>70.07</v>
      </c>
      <c r="L98" s="0" t="n">
        <v>62.61</v>
      </c>
      <c r="M98" s="0" t="n">
        <v>-7.46</v>
      </c>
      <c r="N98" s="0" t="n">
        <v>17057</v>
      </c>
      <c r="Q98" s="0" t="s">
        <v>33</v>
      </c>
      <c r="R98" s="0" t="n">
        <v>4054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Z98" s="0" t="s">
        <v>34</v>
      </c>
      <c r="AA98" s="0" t="s">
        <v>37</v>
      </c>
      <c r="AB98" s="0" t="n">
        <v>0</v>
      </c>
      <c r="AC98" s="0" t="n">
        <v>0</v>
      </c>
    </row>
    <row r="99" customFormat="false" ht="15" hidden="false" customHeight="false" outlineLevel="0" collapsed="false">
      <c r="A99" s="0" t="n">
        <v>502</v>
      </c>
      <c r="B99" s="0" t="s">
        <v>42</v>
      </c>
      <c r="C99" s="0" t="s">
        <v>38</v>
      </c>
      <c r="D99" s="0" t="s">
        <v>31</v>
      </c>
      <c r="E99" s="0" t="s">
        <v>32</v>
      </c>
      <c r="H99" s="0" t="n">
        <v>2</v>
      </c>
      <c r="I99" s="0" t="n">
        <v>2</v>
      </c>
      <c r="J99" s="0" t="n">
        <v>0</v>
      </c>
      <c r="K99" s="0" t="n">
        <v>89.17</v>
      </c>
      <c r="L99" s="0" t="n">
        <v>89.17</v>
      </c>
      <c r="M99" s="0" t="n">
        <v>0</v>
      </c>
      <c r="N99" s="0" t="n">
        <v>6541</v>
      </c>
      <c r="Q99" s="0" t="s">
        <v>33</v>
      </c>
      <c r="R99" s="0" t="n">
        <v>4054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Z99" s="0" t="s">
        <v>34</v>
      </c>
      <c r="AA99" s="0" t="s">
        <v>37</v>
      </c>
      <c r="AB99" s="0" t="n">
        <v>0</v>
      </c>
      <c r="AC99" s="0" t="n">
        <v>0</v>
      </c>
    </row>
    <row r="100" customFormat="false" ht="15" hidden="false" customHeight="false" outlineLevel="0" collapsed="false">
      <c r="A100" s="0" t="n">
        <v>503</v>
      </c>
      <c r="B100" s="0" t="s">
        <v>29</v>
      </c>
      <c r="C100" s="0" t="s">
        <v>51</v>
      </c>
      <c r="D100" s="0" t="s">
        <v>31</v>
      </c>
      <c r="E100" s="0" t="s">
        <v>32</v>
      </c>
      <c r="H100" s="0" t="n">
        <v>6</v>
      </c>
      <c r="I100" s="0" t="n">
        <v>5</v>
      </c>
      <c r="J100" s="0" t="n">
        <v>-1</v>
      </c>
      <c r="K100" s="0" t="n">
        <v>53.07</v>
      </c>
      <c r="L100" s="0" t="n">
        <v>64.16</v>
      </c>
      <c r="M100" s="0" t="n">
        <v>11.09</v>
      </c>
      <c r="N100" s="0" t="n">
        <v>13039</v>
      </c>
      <c r="Q100" s="0" t="s">
        <v>33</v>
      </c>
      <c r="R100" s="0" t="n">
        <v>4054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Z100" s="0" t="s">
        <v>33</v>
      </c>
      <c r="AA100" s="0" t="s">
        <v>40</v>
      </c>
      <c r="AB100" s="0" t="n">
        <v>0</v>
      </c>
      <c r="AC100" s="0" t="n">
        <v>0</v>
      </c>
    </row>
    <row r="101" customFormat="false" ht="15" hidden="false" customHeight="false" outlineLevel="0" collapsed="false">
      <c r="A101" s="0" t="n">
        <v>505</v>
      </c>
      <c r="B101" s="0" t="s">
        <v>29</v>
      </c>
      <c r="C101" s="0" t="s">
        <v>30</v>
      </c>
      <c r="D101" s="0" t="s">
        <v>31</v>
      </c>
      <c r="E101" s="0" t="s">
        <v>32</v>
      </c>
      <c r="H101" s="0" t="n">
        <v>4</v>
      </c>
      <c r="I101" s="0" t="n">
        <v>5</v>
      </c>
      <c r="J101" s="0" t="n">
        <v>1</v>
      </c>
      <c r="K101" s="0" t="n">
        <v>48.01</v>
      </c>
      <c r="L101" s="0" t="n">
        <v>43.37</v>
      </c>
      <c r="M101" s="0" t="n">
        <v>-4.64</v>
      </c>
      <c r="N101" s="0" t="n">
        <v>20057</v>
      </c>
      <c r="Q101" s="0" t="s">
        <v>33</v>
      </c>
      <c r="R101" s="0" t="n">
        <v>4054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Z101" s="0" t="s">
        <v>33</v>
      </c>
      <c r="AA101" s="0" t="s">
        <v>40</v>
      </c>
      <c r="AB101" s="0" t="n">
        <v>0</v>
      </c>
      <c r="AC101" s="0" t="n">
        <v>0</v>
      </c>
    </row>
    <row r="102" customFormat="false" ht="15" hidden="false" customHeight="false" outlineLevel="0" collapsed="false">
      <c r="A102" s="0" t="n">
        <v>511</v>
      </c>
      <c r="B102" s="0" t="s">
        <v>42</v>
      </c>
      <c r="C102" s="0" t="s">
        <v>45</v>
      </c>
      <c r="D102" s="0" t="s">
        <v>31</v>
      </c>
      <c r="E102" s="0" t="s">
        <v>32</v>
      </c>
      <c r="H102" s="0" t="n">
        <v>3</v>
      </c>
      <c r="I102" s="0" t="n">
        <v>4</v>
      </c>
      <c r="J102" s="0" t="n">
        <v>1</v>
      </c>
      <c r="K102" s="0" t="n">
        <v>0</v>
      </c>
      <c r="L102" s="0" t="n">
        <v>46.1</v>
      </c>
      <c r="M102" s="0" t="n">
        <v>46.1</v>
      </c>
      <c r="N102" s="0" t="n">
        <v>18059</v>
      </c>
      <c r="Q102" s="0" t="s">
        <v>33</v>
      </c>
      <c r="R102" s="0" t="n">
        <v>4032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Z102" s="0" t="s">
        <v>34</v>
      </c>
      <c r="AA102" s="0" t="s">
        <v>37</v>
      </c>
      <c r="AB102" s="0" t="n">
        <v>0</v>
      </c>
      <c r="AC102" s="0" t="n">
        <v>0</v>
      </c>
    </row>
    <row r="103" customFormat="false" ht="15" hidden="false" customHeight="false" outlineLevel="0" collapsed="false">
      <c r="A103" s="0" t="n">
        <v>513</v>
      </c>
      <c r="B103" s="0" t="s">
        <v>29</v>
      </c>
      <c r="C103" s="0" t="s">
        <v>48</v>
      </c>
      <c r="D103" s="0" t="s">
        <v>31</v>
      </c>
      <c r="E103" s="0" t="s">
        <v>32</v>
      </c>
      <c r="H103" s="0" t="n">
        <v>5</v>
      </c>
      <c r="I103" s="0" t="n">
        <v>4</v>
      </c>
      <c r="J103" s="0" t="n">
        <v>-1</v>
      </c>
      <c r="K103" s="0" t="n">
        <v>60.48</v>
      </c>
      <c r="L103" s="0" t="n">
        <v>54.93</v>
      </c>
      <c r="M103" s="0" t="n">
        <v>-5.55</v>
      </c>
      <c r="N103" s="0" t="n">
        <v>14547</v>
      </c>
      <c r="Q103" s="0" t="s">
        <v>33</v>
      </c>
      <c r="R103" s="0" t="n">
        <v>4032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Z103" s="0" t="s">
        <v>33</v>
      </c>
      <c r="AA103" s="0" t="s">
        <v>40</v>
      </c>
      <c r="AB103" s="0" t="n">
        <v>0</v>
      </c>
      <c r="AC103" s="0" t="n">
        <v>0</v>
      </c>
    </row>
    <row r="104" customFormat="false" ht="15" hidden="false" customHeight="false" outlineLevel="0" collapsed="false">
      <c r="A104" s="0" t="n">
        <v>521</v>
      </c>
      <c r="B104" s="0" t="s">
        <v>42</v>
      </c>
      <c r="C104" s="0" t="s">
        <v>47</v>
      </c>
      <c r="D104" s="0" t="s">
        <v>49</v>
      </c>
      <c r="E104" s="0" t="s">
        <v>50</v>
      </c>
      <c r="H104" s="0" t="n">
        <v>3</v>
      </c>
      <c r="I104" s="0" t="n">
        <v>3</v>
      </c>
      <c r="J104" s="0" t="n">
        <v>0</v>
      </c>
      <c r="K104" s="0" t="n">
        <v>57.5</v>
      </c>
      <c r="L104" s="0" t="n">
        <v>57.5</v>
      </c>
      <c r="M104" s="0" t="n">
        <v>0</v>
      </c>
      <c r="N104" s="0" t="n">
        <v>13545</v>
      </c>
      <c r="Q104" s="0" t="s">
        <v>34</v>
      </c>
      <c r="R104" s="0" t="n">
        <v>4032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Z104" s="0" t="s">
        <v>34</v>
      </c>
      <c r="AA104" s="0" t="s">
        <v>37</v>
      </c>
      <c r="AB104" s="0" t="n">
        <v>0</v>
      </c>
      <c r="AC104" s="0" t="n">
        <v>0</v>
      </c>
    </row>
    <row r="105" customFormat="false" ht="15" hidden="false" customHeight="false" outlineLevel="0" collapsed="false">
      <c r="A105" s="0" t="n">
        <v>523</v>
      </c>
      <c r="B105" s="0" t="s">
        <v>42</v>
      </c>
      <c r="C105" s="0" t="s">
        <v>45</v>
      </c>
      <c r="D105" s="0" t="s">
        <v>31</v>
      </c>
      <c r="E105" s="0" t="s">
        <v>32</v>
      </c>
      <c r="H105" s="0" t="n">
        <v>2</v>
      </c>
      <c r="I105" s="0" t="n">
        <v>2</v>
      </c>
      <c r="J105" s="0" t="n">
        <v>0</v>
      </c>
      <c r="K105" s="0" t="n">
        <v>41.7</v>
      </c>
      <c r="L105" s="0" t="n">
        <v>45.98</v>
      </c>
      <c r="M105" s="0" t="n">
        <v>4.28</v>
      </c>
      <c r="N105" s="0" t="n">
        <v>21073</v>
      </c>
      <c r="Q105" s="0" t="s">
        <v>33</v>
      </c>
      <c r="R105" s="0" t="n">
        <v>4034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Z105" s="0" t="s">
        <v>34</v>
      </c>
      <c r="AA105" s="0" t="s">
        <v>37</v>
      </c>
      <c r="AB105" s="0" t="n">
        <v>0</v>
      </c>
      <c r="AC105" s="0" t="n">
        <v>0</v>
      </c>
    </row>
    <row r="106" customFormat="false" ht="15" hidden="false" customHeight="false" outlineLevel="0" collapsed="false">
      <c r="A106" s="0" t="n">
        <v>527</v>
      </c>
      <c r="B106" s="0" t="s">
        <v>29</v>
      </c>
      <c r="C106" s="0" t="s">
        <v>39</v>
      </c>
      <c r="D106" s="0" t="s">
        <v>31</v>
      </c>
      <c r="E106" s="0" t="s">
        <v>32</v>
      </c>
      <c r="H106" s="0" t="n">
        <v>4</v>
      </c>
      <c r="I106" s="0" t="n">
        <v>4</v>
      </c>
      <c r="J106" s="0" t="n">
        <v>0</v>
      </c>
      <c r="K106" s="0" t="n">
        <v>52.71</v>
      </c>
      <c r="L106" s="0" t="n">
        <v>49</v>
      </c>
      <c r="M106" s="0" t="n">
        <v>-3.71</v>
      </c>
      <c r="N106" s="0" t="n">
        <v>20059</v>
      </c>
      <c r="Q106" s="0" t="s">
        <v>33</v>
      </c>
      <c r="R106" s="0" t="n">
        <v>4034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Z106" s="0" t="s">
        <v>34</v>
      </c>
      <c r="AA106" s="0" t="s">
        <v>37</v>
      </c>
      <c r="AB106" s="0" t="n">
        <v>0</v>
      </c>
      <c r="AC106" s="0" t="n">
        <v>0</v>
      </c>
    </row>
    <row r="107" customFormat="false" ht="15" hidden="false" customHeight="false" outlineLevel="0" collapsed="false">
      <c r="A107" s="0" t="n">
        <v>534</v>
      </c>
      <c r="B107" s="0" t="s">
        <v>29</v>
      </c>
      <c r="C107" s="0" t="s">
        <v>46</v>
      </c>
      <c r="D107" s="0" t="s">
        <v>31</v>
      </c>
      <c r="E107" s="0" t="s">
        <v>32</v>
      </c>
      <c r="H107" s="0" t="n">
        <v>7</v>
      </c>
      <c r="I107" s="0" t="n">
        <v>4</v>
      </c>
      <c r="J107" s="0" t="n">
        <v>-3</v>
      </c>
      <c r="K107" s="0" t="n">
        <v>37.86</v>
      </c>
      <c r="L107" s="0" t="n">
        <v>34.25</v>
      </c>
      <c r="M107" s="0" t="n">
        <v>-3.61</v>
      </c>
      <c r="N107" s="0" t="n">
        <v>27582</v>
      </c>
      <c r="Q107" s="0" t="s">
        <v>33</v>
      </c>
      <c r="R107" s="0" t="n">
        <v>4034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Z107" s="0" t="s">
        <v>34</v>
      </c>
      <c r="AA107" s="0" t="s">
        <v>37</v>
      </c>
      <c r="AB107" s="0" t="n">
        <v>0</v>
      </c>
      <c r="AC107" s="0" t="n">
        <v>0</v>
      </c>
    </row>
    <row r="108" customFormat="false" ht="15" hidden="false" customHeight="false" outlineLevel="0" collapsed="false">
      <c r="A108" s="0" t="n">
        <v>540</v>
      </c>
      <c r="B108" s="0" t="s">
        <v>42</v>
      </c>
      <c r="C108" s="0" t="s">
        <v>38</v>
      </c>
      <c r="D108" s="0" t="s">
        <v>31</v>
      </c>
      <c r="E108" s="0" t="s">
        <v>32</v>
      </c>
      <c r="H108" s="0" t="n">
        <v>2</v>
      </c>
      <c r="I108" s="0" t="n">
        <v>2</v>
      </c>
      <c r="J108" s="0" t="n">
        <v>0</v>
      </c>
      <c r="K108" s="0" t="n">
        <v>76.5</v>
      </c>
      <c r="L108" s="0" t="n">
        <v>76.5</v>
      </c>
      <c r="M108" s="0" t="n">
        <v>0</v>
      </c>
      <c r="N108" s="0" t="n">
        <v>8532</v>
      </c>
      <c r="Q108" s="0" t="s">
        <v>33</v>
      </c>
      <c r="R108" s="0" t="n">
        <v>4034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Z108" s="0" t="s">
        <v>34</v>
      </c>
      <c r="AA108" s="0" t="s">
        <v>37</v>
      </c>
      <c r="AB108" s="0" t="n">
        <v>0</v>
      </c>
      <c r="AC108" s="0" t="n">
        <v>0</v>
      </c>
    </row>
    <row r="109" customFormat="false" ht="15" hidden="false" customHeight="false" outlineLevel="0" collapsed="false">
      <c r="A109" s="0" t="n">
        <v>542</v>
      </c>
      <c r="B109" s="0" t="s">
        <v>42</v>
      </c>
      <c r="C109" s="0" t="s">
        <v>45</v>
      </c>
      <c r="D109" s="0" t="s">
        <v>31</v>
      </c>
      <c r="E109" s="0" t="s">
        <v>32</v>
      </c>
      <c r="H109" s="0" t="n">
        <v>2</v>
      </c>
      <c r="I109" s="0" t="n">
        <v>2</v>
      </c>
      <c r="J109" s="0" t="n">
        <v>0</v>
      </c>
      <c r="K109" s="0" t="n">
        <v>59.69</v>
      </c>
      <c r="L109" s="0" t="n">
        <v>49.34</v>
      </c>
      <c r="M109" s="0" t="n">
        <v>-10.35</v>
      </c>
      <c r="N109" s="0" t="n">
        <v>21074</v>
      </c>
      <c r="Q109" s="0" t="s">
        <v>33</v>
      </c>
      <c r="R109" s="0" t="n">
        <v>4034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Z109" s="0" t="s">
        <v>34</v>
      </c>
      <c r="AA109" s="0" t="s">
        <v>37</v>
      </c>
      <c r="AB109" s="0" t="n">
        <v>0</v>
      </c>
      <c r="AC109" s="0" t="n">
        <v>0</v>
      </c>
    </row>
    <row r="110" customFormat="false" ht="15" hidden="false" customHeight="false" outlineLevel="0" collapsed="false">
      <c r="A110" s="0" t="n">
        <v>552</v>
      </c>
      <c r="B110" s="0" t="s">
        <v>29</v>
      </c>
      <c r="C110" s="0" t="s">
        <v>30</v>
      </c>
      <c r="D110" s="0" t="s">
        <v>31</v>
      </c>
      <c r="E110" s="0" t="s">
        <v>32</v>
      </c>
      <c r="H110" s="0" t="n">
        <v>5</v>
      </c>
      <c r="I110" s="0" t="n">
        <v>6</v>
      </c>
      <c r="J110" s="0" t="n">
        <v>1</v>
      </c>
      <c r="K110" s="0" t="n">
        <v>66.41</v>
      </c>
      <c r="L110" s="0" t="n">
        <v>54.22</v>
      </c>
      <c r="M110" s="0" t="n">
        <v>-12.19</v>
      </c>
      <c r="N110" s="0" t="n">
        <v>15562</v>
      </c>
      <c r="Q110" s="0" t="s">
        <v>33</v>
      </c>
      <c r="R110" s="0" t="n">
        <v>4034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Z110" s="0" t="s">
        <v>34</v>
      </c>
      <c r="AA110" s="0" t="s">
        <v>37</v>
      </c>
      <c r="AB110" s="0" t="n">
        <v>0</v>
      </c>
      <c r="AC110" s="0" t="n">
        <v>0</v>
      </c>
    </row>
    <row r="111" customFormat="false" ht="15" hidden="false" customHeight="false" outlineLevel="0" collapsed="false">
      <c r="A111" s="0" t="n">
        <v>554</v>
      </c>
      <c r="B111" s="0" t="s">
        <v>29</v>
      </c>
      <c r="C111" s="0" t="s">
        <v>30</v>
      </c>
      <c r="D111" s="0" t="s">
        <v>31</v>
      </c>
      <c r="E111" s="0" t="s">
        <v>32</v>
      </c>
      <c r="H111" s="0" t="n">
        <v>6</v>
      </c>
      <c r="I111" s="0" t="n">
        <v>6</v>
      </c>
      <c r="J111" s="0" t="n">
        <v>0</v>
      </c>
      <c r="K111" s="0" t="n">
        <v>47.55</v>
      </c>
      <c r="L111" s="0" t="n">
        <v>45.57</v>
      </c>
      <c r="M111" s="0" t="n">
        <v>-1.98</v>
      </c>
      <c r="N111" s="0" t="n">
        <v>21062</v>
      </c>
      <c r="Q111" s="0" t="s">
        <v>33</v>
      </c>
      <c r="R111" s="0" t="n">
        <v>4034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Z111" s="0" t="s">
        <v>34</v>
      </c>
      <c r="AA111" s="0" t="s">
        <v>37</v>
      </c>
      <c r="AB111" s="0" t="n">
        <v>0</v>
      </c>
      <c r="AC111" s="0" t="n">
        <v>0</v>
      </c>
    </row>
    <row r="112" customFormat="false" ht="15" hidden="false" customHeight="false" outlineLevel="0" collapsed="false">
      <c r="A112" s="0" t="n">
        <v>561</v>
      </c>
      <c r="B112" s="0" t="s">
        <v>29</v>
      </c>
      <c r="C112" s="0" t="s">
        <v>39</v>
      </c>
      <c r="D112" s="0" t="s">
        <v>31</v>
      </c>
      <c r="E112" s="0" t="s">
        <v>32</v>
      </c>
      <c r="H112" s="0" t="n">
        <v>4</v>
      </c>
      <c r="I112" s="0" t="n">
        <v>4</v>
      </c>
      <c r="J112" s="0" t="n">
        <v>0</v>
      </c>
      <c r="K112" s="0" t="n">
        <v>50.29</v>
      </c>
      <c r="L112" s="0" t="n">
        <v>44.88</v>
      </c>
      <c r="M112" s="0" t="n">
        <v>-5.41</v>
      </c>
      <c r="N112" s="0" t="n">
        <v>24068</v>
      </c>
      <c r="Q112" s="0" t="s">
        <v>33</v>
      </c>
      <c r="R112" s="0" t="n">
        <v>4034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Z112" s="0" t="s">
        <v>33</v>
      </c>
      <c r="AA112" s="0" t="s">
        <v>40</v>
      </c>
      <c r="AB112" s="0" t="n">
        <v>0</v>
      </c>
      <c r="AC112" s="0" t="n">
        <v>0</v>
      </c>
    </row>
    <row r="113" customFormat="false" ht="15" hidden="false" customHeight="false" outlineLevel="0" collapsed="false">
      <c r="A113" s="0" t="n">
        <v>562</v>
      </c>
      <c r="B113" s="0" t="s">
        <v>42</v>
      </c>
      <c r="C113" s="0" t="s">
        <v>39</v>
      </c>
      <c r="D113" s="0" t="s">
        <v>31</v>
      </c>
      <c r="E113" s="0" t="s">
        <v>32</v>
      </c>
      <c r="H113" s="0" t="n">
        <v>4</v>
      </c>
      <c r="I113" s="0" t="n">
        <v>3</v>
      </c>
      <c r="J113" s="0" t="n">
        <v>-1</v>
      </c>
      <c r="K113" s="0" t="n">
        <v>56.73</v>
      </c>
      <c r="L113" s="0" t="n">
        <v>52.09</v>
      </c>
      <c r="M113" s="0" t="n">
        <v>-4.64</v>
      </c>
      <c r="N113" s="0" t="n">
        <v>16557</v>
      </c>
      <c r="Q113" s="0" t="s">
        <v>33</v>
      </c>
      <c r="R113" s="0" t="n">
        <v>4034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Z113" s="0" t="s">
        <v>34</v>
      </c>
      <c r="AA113" s="0" t="s">
        <v>37</v>
      </c>
      <c r="AB113" s="0" t="n">
        <v>0</v>
      </c>
      <c r="AC113" s="0" t="n">
        <v>0</v>
      </c>
    </row>
    <row r="114" customFormat="false" ht="15" hidden="false" customHeight="false" outlineLevel="0" collapsed="false">
      <c r="A114" s="0" t="n">
        <v>570</v>
      </c>
      <c r="B114" s="0" t="s">
        <v>29</v>
      </c>
      <c r="C114" s="0" t="s">
        <v>41</v>
      </c>
      <c r="D114" s="0" t="s">
        <v>31</v>
      </c>
      <c r="E114" s="0" t="s">
        <v>32</v>
      </c>
      <c r="H114" s="0" t="n">
        <v>5</v>
      </c>
      <c r="I114" s="0" t="n">
        <v>6</v>
      </c>
      <c r="J114" s="0" t="n">
        <v>1</v>
      </c>
      <c r="K114" s="0" t="n">
        <v>55.42</v>
      </c>
      <c r="L114" s="0" t="n">
        <v>54.48</v>
      </c>
      <c r="M114" s="0" t="n">
        <v>-0.94</v>
      </c>
      <c r="N114" s="0" t="n">
        <v>15049</v>
      </c>
      <c r="Q114" s="0" t="s">
        <v>33</v>
      </c>
      <c r="R114" s="0" t="n">
        <v>4034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Z114" s="0" t="s">
        <v>33</v>
      </c>
      <c r="AA114" s="0" t="s">
        <v>40</v>
      </c>
      <c r="AB114" s="0" t="n">
        <v>0</v>
      </c>
      <c r="AC114" s="0" t="n">
        <v>0</v>
      </c>
    </row>
    <row r="115" customFormat="false" ht="15" hidden="false" customHeight="false" outlineLevel="0" collapsed="false">
      <c r="A115" s="0" t="n">
        <v>575</v>
      </c>
      <c r="B115" s="0" t="s">
        <v>29</v>
      </c>
      <c r="C115" s="0" t="s">
        <v>45</v>
      </c>
      <c r="D115" s="0" t="s">
        <v>31</v>
      </c>
      <c r="E115" s="0" t="s">
        <v>32</v>
      </c>
      <c r="H115" s="0" t="n">
        <v>3</v>
      </c>
      <c r="I115" s="0" t="n">
        <v>4</v>
      </c>
      <c r="J115" s="0" t="n">
        <v>1</v>
      </c>
      <c r="K115" s="0" t="n">
        <v>47.84</v>
      </c>
      <c r="L115" s="0" t="n">
        <v>53.2</v>
      </c>
      <c r="M115" s="0" t="n">
        <v>5.36</v>
      </c>
      <c r="N115" s="0" t="n">
        <v>18060</v>
      </c>
      <c r="Q115" s="0" t="s">
        <v>33</v>
      </c>
      <c r="R115" s="0" t="n">
        <v>4034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Z115" s="0" t="s">
        <v>34</v>
      </c>
      <c r="AA115" s="0" t="s">
        <v>37</v>
      </c>
      <c r="AB115" s="0" t="n">
        <v>0</v>
      </c>
      <c r="AC115" s="0" t="n">
        <v>0</v>
      </c>
    </row>
    <row r="116" customFormat="false" ht="15" hidden="false" customHeight="false" outlineLevel="0" collapsed="false">
      <c r="A116" s="0" t="n">
        <v>578</v>
      </c>
      <c r="B116" s="0" t="s">
        <v>42</v>
      </c>
      <c r="C116" s="0" t="s">
        <v>38</v>
      </c>
      <c r="D116" s="0" t="s">
        <v>31</v>
      </c>
      <c r="E116" s="0" t="s">
        <v>32</v>
      </c>
      <c r="H116" s="0" t="n">
        <v>1</v>
      </c>
      <c r="I116" s="0" t="n">
        <v>1</v>
      </c>
      <c r="J116" s="0" t="n">
        <v>0</v>
      </c>
      <c r="K116" s="0" t="n">
        <v>73.23</v>
      </c>
      <c r="L116" s="0" t="n">
        <v>73.23</v>
      </c>
      <c r="M116" s="0" t="n">
        <v>0</v>
      </c>
      <c r="N116" s="0" t="n">
        <v>8538</v>
      </c>
      <c r="Q116" s="0" t="s">
        <v>33</v>
      </c>
      <c r="R116" s="0" t="n">
        <v>4034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Z116" s="0" t="s">
        <v>33</v>
      </c>
      <c r="AA116" s="0" t="s">
        <v>40</v>
      </c>
      <c r="AB116" s="0" t="n">
        <v>0</v>
      </c>
      <c r="AC116" s="0" t="n">
        <v>0</v>
      </c>
    </row>
    <row r="117" customFormat="false" ht="15" hidden="false" customHeight="false" outlineLevel="0" collapsed="false">
      <c r="A117" s="0" t="n">
        <v>583</v>
      </c>
      <c r="B117" s="0" t="s">
        <v>29</v>
      </c>
      <c r="C117" s="0" t="s">
        <v>39</v>
      </c>
      <c r="D117" s="0" t="s">
        <v>31</v>
      </c>
      <c r="E117" s="0" t="s">
        <v>32</v>
      </c>
      <c r="H117" s="0" t="n">
        <v>3</v>
      </c>
      <c r="I117" s="0" t="n">
        <v>3</v>
      </c>
      <c r="J117" s="0" t="n">
        <v>0</v>
      </c>
      <c r="K117" s="0" t="n">
        <v>66.48</v>
      </c>
      <c r="L117" s="0" t="n">
        <v>60.34</v>
      </c>
      <c r="M117" s="0" t="n">
        <v>-6.14</v>
      </c>
      <c r="N117" s="0" t="n">
        <v>11548</v>
      </c>
      <c r="Q117" s="0" t="s">
        <v>33</v>
      </c>
      <c r="R117" s="0" t="n">
        <v>4034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Z117" s="0" t="s">
        <v>34</v>
      </c>
      <c r="AA117" s="0" t="s">
        <v>35</v>
      </c>
      <c r="AB117" s="0" t="n">
        <v>1</v>
      </c>
      <c r="AC117" s="0" t="n">
        <v>0</v>
      </c>
    </row>
    <row r="118" customFormat="false" ht="15" hidden="false" customHeight="false" outlineLevel="0" collapsed="false">
      <c r="A118" s="0" t="n">
        <v>584</v>
      </c>
      <c r="B118" s="0" t="s">
        <v>29</v>
      </c>
      <c r="C118" s="0" t="s">
        <v>52</v>
      </c>
      <c r="D118" s="0" t="s">
        <v>31</v>
      </c>
      <c r="E118" s="0" t="s">
        <v>32</v>
      </c>
      <c r="H118" s="0" t="n">
        <v>2</v>
      </c>
      <c r="I118" s="0" t="n">
        <v>2</v>
      </c>
      <c r="J118" s="0" t="n">
        <v>0</v>
      </c>
      <c r="K118" s="0" t="n">
        <v>59.48</v>
      </c>
      <c r="L118" s="0" t="n">
        <v>59.55</v>
      </c>
      <c r="M118" s="0" t="n">
        <v>0.07</v>
      </c>
      <c r="N118" s="0" t="n">
        <v>13549</v>
      </c>
      <c r="Q118" s="0" t="s">
        <v>33</v>
      </c>
      <c r="R118" s="0" t="n">
        <v>4034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Z118" s="0" t="s">
        <v>34</v>
      </c>
      <c r="AA118" s="0" t="s">
        <v>35</v>
      </c>
      <c r="AB118" s="0" t="n">
        <v>1</v>
      </c>
      <c r="AC118" s="0" t="n">
        <v>0</v>
      </c>
    </row>
    <row r="119" customFormat="false" ht="15" hidden="false" customHeight="false" outlineLevel="0" collapsed="false">
      <c r="A119" s="0" t="n">
        <v>594</v>
      </c>
      <c r="B119" s="0" t="s">
        <v>36</v>
      </c>
      <c r="C119" s="0" t="s">
        <v>38</v>
      </c>
      <c r="D119" s="0" t="s">
        <v>31</v>
      </c>
      <c r="E119" s="0" t="s">
        <v>32</v>
      </c>
      <c r="H119" s="0" t="n">
        <v>3</v>
      </c>
      <c r="I119" s="0" t="n">
        <v>3</v>
      </c>
      <c r="J119" s="0" t="n">
        <v>0</v>
      </c>
      <c r="K119" s="0" t="n">
        <v>60.08</v>
      </c>
      <c r="L119" s="0" t="n">
        <v>60.08</v>
      </c>
      <c r="M119" s="0" t="n">
        <v>0</v>
      </c>
      <c r="N119" s="0" t="n">
        <v>13548</v>
      </c>
      <c r="Q119" s="0" t="s">
        <v>33</v>
      </c>
      <c r="R119" s="0" t="n">
        <v>4034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Z119" s="0" t="s">
        <v>34</v>
      </c>
      <c r="AA119" s="0" t="s">
        <v>37</v>
      </c>
      <c r="AB119" s="0" t="n">
        <v>0</v>
      </c>
      <c r="AC119" s="0" t="n">
        <v>0</v>
      </c>
    </row>
    <row r="120" customFormat="false" ht="15" hidden="false" customHeight="false" outlineLevel="0" collapsed="false">
      <c r="A120" s="0" t="n">
        <v>602</v>
      </c>
      <c r="B120" s="0" t="s">
        <v>29</v>
      </c>
      <c r="C120" s="0" t="s">
        <v>45</v>
      </c>
      <c r="D120" s="0" t="s">
        <v>31</v>
      </c>
      <c r="E120" s="0" t="s">
        <v>32</v>
      </c>
      <c r="H120" s="0" t="n">
        <v>3</v>
      </c>
      <c r="I120" s="0" t="n">
        <v>3</v>
      </c>
      <c r="J120" s="0" t="n">
        <v>0</v>
      </c>
      <c r="K120" s="0" t="n">
        <v>36.32</v>
      </c>
      <c r="L120" s="0" t="n">
        <v>28.41</v>
      </c>
      <c r="M120" s="0" t="n">
        <v>-7.91</v>
      </c>
      <c r="N120" s="0" t="n">
        <v>34098</v>
      </c>
      <c r="Q120" s="0" t="s">
        <v>33</v>
      </c>
      <c r="R120" s="0" t="n">
        <v>4034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Z120" s="0" t="s">
        <v>33</v>
      </c>
      <c r="AA120" s="0" t="s">
        <v>40</v>
      </c>
      <c r="AB120" s="0" t="n">
        <v>0</v>
      </c>
      <c r="AC120" s="0" t="n">
        <v>0</v>
      </c>
    </row>
    <row r="121" customFormat="false" ht="15" hidden="false" customHeight="false" outlineLevel="0" collapsed="false">
      <c r="A121" s="0" t="n">
        <v>603</v>
      </c>
      <c r="B121" s="0" t="s">
        <v>42</v>
      </c>
      <c r="C121" s="0" t="s">
        <v>45</v>
      </c>
      <c r="D121" s="0" t="s">
        <v>31</v>
      </c>
      <c r="E121" s="0" t="s">
        <v>32</v>
      </c>
      <c r="H121" s="0" t="n">
        <v>4</v>
      </c>
      <c r="I121" s="0" t="n">
        <v>4</v>
      </c>
      <c r="J121" s="0" t="n">
        <v>0</v>
      </c>
      <c r="K121" s="0" t="n">
        <v>68</v>
      </c>
      <c r="L121" s="0" t="n">
        <v>75.86</v>
      </c>
      <c r="M121" s="0" t="n">
        <v>7.86</v>
      </c>
      <c r="N121" s="0" t="n">
        <v>13043</v>
      </c>
      <c r="Q121" s="0" t="s">
        <v>33</v>
      </c>
      <c r="R121" s="0" t="n">
        <v>4034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Z121" s="0" t="s">
        <v>33</v>
      </c>
      <c r="AA121" s="0" t="s">
        <v>40</v>
      </c>
      <c r="AB121" s="0" t="n">
        <v>0</v>
      </c>
      <c r="AC121" s="0" t="n">
        <v>0</v>
      </c>
    </row>
    <row r="122" customFormat="false" ht="15" hidden="false" customHeight="false" outlineLevel="0" collapsed="false">
      <c r="A122" s="0" t="n">
        <v>609</v>
      </c>
      <c r="B122" s="0" t="s">
        <v>29</v>
      </c>
      <c r="C122" s="0" t="s">
        <v>43</v>
      </c>
      <c r="D122" s="0" t="s">
        <v>31</v>
      </c>
      <c r="E122" s="0" t="s">
        <v>32</v>
      </c>
      <c r="H122" s="0" t="n">
        <v>7</v>
      </c>
      <c r="I122" s="0" t="n">
        <v>7</v>
      </c>
      <c r="J122" s="0" t="n">
        <v>0</v>
      </c>
      <c r="K122" s="0" t="n">
        <v>49.83</v>
      </c>
      <c r="L122" s="0" t="n">
        <v>47.6</v>
      </c>
      <c r="M122" s="0" t="n">
        <v>-2.23</v>
      </c>
      <c r="N122" s="0" t="n">
        <v>19558</v>
      </c>
      <c r="Q122" s="0" t="s">
        <v>33</v>
      </c>
      <c r="R122" s="0" t="n">
        <v>4034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Z122" s="0" t="s">
        <v>34</v>
      </c>
      <c r="AA122" s="0" t="s">
        <v>37</v>
      </c>
      <c r="AB122" s="0" t="n">
        <v>0</v>
      </c>
      <c r="AC122" s="0" t="n">
        <v>0</v>
      </c>
    </row>
    <row r="123" customFormat="false" ht="15" hidden="false" customHeight="false" outlineLevel="0" collapsed="false">
      <c r="A123" s="0" t="n">
        <v>610</v>
      </c>
      <c r="B123" s="0" t="s">
        <v>36</v>
      </c>
      <c r="C123" s="0" t="s">
        <v>39</v>
      </c>
      <c r="D123" s="0" t="s">
        <v>31</v>
      </c>
      <c r="E123" s="0" t="s">
        <v>32</v>
      </c>
      <c r="H123" s="0" t="n">
        <v>2</v>
      </c>
      <c r="I123" s="0" t="n">
        <v>2</v>
      </c>
      <c r="J123" s="0" t="n">
        <v>0</v>
      </c>
      <c r="K123" s="0" t="n">
        <v>73.32</v>
      </c>
      <c r="L123" s="0" t="n">
        <v>68.78</v>
      </c>
      <c r="M123" s="0" t="n">
        <v>-4.54</v>
      </c>
      <c r="N123" s="0" t="n">
        <v>10036</v>
      </c>
      <c r="Q123" s="0" t="s">
        <v>33</v>
      </c>
      <c r="R123" s="0" t="n">
        <v>4034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Z123" s="0" t="s">
        <v>34</v>
      </c>
      <c r="AA123" s="0" t="s">
        <v>35</v>
      </c>
      <c r="AB123" s="0" t="n">
        <v>1</v>
      </c>
      <c r="AC123" s="0" t="n">
        <v>0</v>
      </c>
    </row>
    <row r="124" customFormat="false" ht="15" hidden="false" customHeight="false" outlineLevel="0" collapsed="false">
      <c r="A124" s="0" t="n">
        <v>613</v>
      </c>
      <c r="B124" s="0" t="s">
        <v>29</v>
      </c>
      <c r="C124" s="0" t="s">
        <v>45</v>
      </c>
      <c r="D124" s="0" t="s">
        <v>31</v>
      </c>
      <c r="E124" s="0" t="s">
        <v>32</v>
      </c>
      <c r="H124" s="0" t="n">
        <v>2</v>
      </c>
      <c r="I124" s="0" t="n">
        <v>3</v>
      </c>
      <c r="J124" s="0" t="n">
        <v>1</v>
      </c>
      <c r="K124" s="0" t="n">
        <v>44.98</v>
      </c>
      <c r="L124" s="0" t="n">
        <v>39.02</v>
      </c>
      <c r="M124" s="0" t="n">
        <v>-5.96</v>
      </c>
      <c r="N124" s="0" t="n">
        <v>20567</v>
      </c>
      <c r="Q124" s="0" t="s">
        <v>33</v>
      </c>
      <c r="R124" s="0" t="n">
        <v>4034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Z124" s="0" t="s">
        <v>33</v>
      </c>
      <c r="AA124" s="0" t="s">
        <v>40</v>
      </c>
      <c r="AB124" s="0" t="n">
        <v>0</v>
      </c>
      <c r="AC124" s="0" t="n">
        <v>0</v>
      </c>
    </row>
    <row r="125" customFormat="false" ht="15" hidden="false" customHeight="false" outlineLevel="0" collapsed="false">
      <c r="A125" s="0" t="n">
        <v>618</v>
      </c>
      <c r="B125" s="0" t="s">
        <v>36</v>
      </c>
      <c r="C125" s="0" t="s">
        <v>46</v>
      </c>
      <c r="D125" s="0" t="s">
        <v>31</v>
      </c>
      <c r="E125" s="0" t="s">
        <v>32</v>
      </c>
      <c r="H125" s="0" t="n">
        <v>4</v>
      </c>
      <c r="I125" s="0" t="n">
        <v>3</v>
      </c>
      <c r="J125" s="0" t="n">
        <v>-1</v>
      </c>
      <c r="K125" s="0" t="n">
        <v>52.74</v>
      </c>
      <c r="L125" s="0" t="n">
        <v>47.22</v>
      </c>
      <c r="M125" s="0" t="n">
        <v>-5.52</v>
      </c>
      <c r="N125" s="0" t="n">
        <v>18558</v>
      </c>
      <c r="Q125" s="0" t="s">
        <v>33</v>
      </c>
      <c r="R125" s="0" t="n">
        <v>4034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Z125" s="0" t="s">
        <v>34</v>
      </c>
      <c r="AA125" s="0" t="s">
        <v>35</v>
      </c>
      <c r="AB125" s="0" t="n">
        <v>1</v>
      </c>
      <c r="AC125" s="0" t="n">
        <v>0</v>
      </c>
    </row>
    <row r="126" customFormat="false" ht="15" hidden="false" customHeight="false" outlineLevel="0" collapsed="false">
      <c r="A126" s="0" t="n">
        <v>620</v>
      </c>
      <c r="B126" s="0" t="s">
        <v>29</v>
      </c>
      <c r="C126" s="0" t="s">
        <v>41</v>
      </c>
      <c r="D126" s="0" t="s">
        <v>31</v>
      </c>
      <c r="E126" s="0" t="s">
        <v>32</v>
      </c>
      <c r="H126" s="0" t="n">
        <v>5</v>
      </c>
      <c r="I126" s="0" t="n">
        <v>5</v>
      </c>
      <c r="J126" s="0" t="n">
        <v>0</v>
      </c>
      <c r="K126" s="0" t="n">
        <v>46.56</v>
      </c>
      <c r="L126" s="0" t="n">
        <v>48.9</v>
      </c>
      <c r="M126" s="0" t="n">
        <v>2.34</v>
      </c>
      <c r="N126" s="0" t="n">
        <v>21572</v>
      </c>
      <c r="Q126" s="0" t="s">
        <v>33</v>
      </c>
      <c r="R126" s="0" t="n">
        <v>4034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Z126" s="0" t="s">
        <v>34</v>
      </c>
      <c r="AA126" s="0" t="s">
        <v>37</v>
      </c>
      <c r="AB126" s="0" t="n">
        <v>0</v>
      </c>
      <c r="AC126" s="0" t="n">
        <v>0</v>
      </c>
    </row>
    <row r="127" customFormat="false" ht="15" hidden="false" customHeight="false" outlineLevel="0" collapsed="false">
      <c r="A127" s="0" t="n">
        <v>638</v>
      </c>
      <c r="B127" s="0" t="s">
        <v>29</v>
      </c>
      <c r="C127" s="0" t="s">
        <v>30</v>
      </c>
      <c r="D127" s="0" t="s">
        <v>31</v>
      </c>
      <c r="E127" s="0" t="s">
        <v>32</v>
      </c>
      <c r="H127" s="0" t="n">
        <v>8</v>
      </c>
      <c r="I127" s="0" t="n">
        <v>8</v>
      </c>
      <c r="J127" s="0" t="n">
        <v>0</v>
      </c>
      <c r="K127" s="0" t="n">
        <v>39.4</v>
      </c>
      <c r="L127" s="0" t="n">
        <v>36.67</v>
      </c>
      <c r="M127" s="0" t="n">
        <v>-2.73</v>
      </c>
      <c r="N127" s="0" t="n">
        <v>36099</v>
      </c>
      <c r="Q127" s="0" t="s">
        <v>33</v>
      </c>
      <c r="R127" s="0" t="n">
        <v>4040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Z127" s="0" t="s">
        <v>33</v>
      </c>
      <c r="AA127" s="0" t="s">
        <v>40</v>
      </c>
      <c r="AB127" s="0" t="n">
        <v>0</v>
      </c>
      <c r="AC127" s="0" t="n">
        <v>0</v>
      </c>
    </row>
    <row r="128" customFormat="false" ht="15" hidden="false" customHeight="false" outlineLevel="0" collapsed="false">
      <c r="A128" s="0" t="n">
        <v>650</v>
      </c>
      <c r="B128" s="0" t="s">
        <v>42</v>
      </c>
      <c r="C128" s="0" t="s">
        <v>30</v>
      </c>
      <c r="D128" s="0" t="s">
        <v>31</v>
      </c>
      <c r="E128" s="0" t="s">
        <v>32</v>
      </c>
      <c r="H128" s="0" t="n">
        <v>4</v>
      </c>
      <c r="I128" s="0" t="n">
        <v>4</v>
      </c>
      <c r="J128" s="0" t="n">
        <v>0</v>
      </c>
      <c r="K128" s="0" t="n">
        <v>70.01</v>
      </c>
      <c r="L128" s="0" t="n">
        <v>65.52</v>
      </c>
      <c r="M128" s="0" t="n">
        <v>-4.49</v>
      </c>
      <c r="N128" s="0" t="n">
        <v>10535</v>
      </c>
      <c r="Q128" s="0" t="s">
        <v>33</v>
      </c>
      <c r="R128" s="0" t="n">
        <v>4040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Z128" s="0" t="s">
        <v>34</v>
      </c>
      <c r="AA128" s="0" t="s">
        <v>37</v>
      </c>
      <c r="AB128" s="0" t="n">
        <v>0</v>
      </c>
      <c r="AC128" s="0" t="n">
        <v>0</v>
      </c>
    </row>
    <row r="129" customFormat="false" ht="15" hidden="false" customHeight="false" outlineLevel="0" collapsed="false">
      <c r="A129" s="0" t="n">
        <v>654</v>
      </c>
      <c r="B129" s="0" t="s">
        <v>42</v>
      </c>
      <c r="C129" s="0" t="s">
        <v>47</v>
      </c>
      <c r="D129" s="0" t="s">
        <v>31</v>
      </c>
      <c r="E129" s="0" t="s">
        <v>32</v>
      </c>
      <c r="H129" s="0" t="n">
        <v>4</v>
      </c>
      <c r="I129" s="0" t="n">
        <v>4</v>
      </c>
      <c r="J129" s="0" t="n">
        <v>0</v>
      </c>
      <c r="K129" s="0" t="n">
        <v>63.68</v>
      </c>
      <c r="L129" s="0" t="n">
        <v>53.88</v>
      </c>
      <c r="M129" s="0" t="n">
        <v>-9.8</v>
      </c>
      <c r="N129" s="0" t="n">
        <v>17555</v>
      </c>
      <c r="Q129" s="0" t="s">
        <v>33</v>
      </c>
      <c r="R129" s="0" t="n">
        <v>4040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Z129" s="0" t="s">
        <v>34</v>
      </c>
      <c r="AA129" s="0" t="s">
        <v>37</v>
      </c>
      <c r="AB129" s="0" t="n">
        <v>0</v>
      </c>
      <c r="AC129" s="0" t="n">
        <v>0</v>
      </c>
    </row>
    <row r="130" customFormat="false" ht="15" hidden="false" customHeight="false" outlineLevel="0" collapsed="false">
      <c r="A130" s="0" t="n">
        <v>661</v>
      </c>
      <c r="B130" s="0" t="s">
        <v>36</v>
      </c>
      <c r="C130" s="0" t="s">
        <v>30</v>
      </c>
      <c r="D130" s="0" t="s">
        <v>31</v>
      </c>
      <c r="E130" s="0" t="s">
        <v>32</v>
      </c>
      <c r="H130" s="0" t="n">
        <v>6</v>
      </c>
      <c r="I130" s="0" t="n">
        <v>6</v>
      </c>
      <c r="J130" s="0" t="n">
        <v>0</v>
      </c>
      <c r="K130" s="0" t="n">
        <v>18.31</v>
      </c>
      <c r="L130" s="0" t="n">
        <v>15.27</v>
      </c>
      <c r="M130" s="0" t="n">
        <v>-3.04</v>
      </c>
      <c r="N130" s="0" t="n">
        <v>54629</v>
      </c>
      <c r="Q130" s="0" t="s">
        <v>33</v>
      </c>
      <c r="R130" s="0" t="n">
        <v>4054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Z130" s="0" t="s">
        <v>34</v>
      </c>
      <c r="AA130" s="0" t="s">
        <v>37</v>
      </c>
      <c r="AB130" s="0" t="n">
        <v>0</v>
      </c>
      <c r="AC130" s="0" t="n">
        <v>0</v>
      </c>
    </row>
    <row r="131" customFormat="false" ht="15" hidden="false" customHeight="false" outlineLevel="0" collapsed="false">
      <c r="A131" s="0" t="n">
        <v>669</v>
      </c>
      <c r="B131" s="0" t="s">
        <v>29</v>
      </c>
      <c r="C131" s="0" t="s">
        <v>30</v>
      </c>
      <c r="D131" s="0" t="s">
        <v>31</v>
      </c>
      <c r="E131" s="0" t="s">
        <v>32</v>
      </c>
      <c r="H131" s="0" t="n">
        <v>5</v>
      </c>
      <c r="I131" s="0" t="n">
        <v>5</v>
      </c>
      <c r="J131" s="0" t="n">
        <v>0</v>
      </c>
      <c r="K131" s="0" t="n">
        <v>53.55</v>
      </c>
      <c r="L131" s="0" t="n">
        <v>48.68</v>
      </c>
      <c r="M131" s="0" t="n">
        <v>-4.87</v>
      </c>
      <c r="N131" s="0" t="n">
        <v>14548</v>
      </c>
      <c r="Q131" s="0" t="s">
        <v>33</v>
      </c>
      <c r="R131" s="0" t="n">
        <v>4054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Z131" s="0" t="s">
        <v>34</v>
      </c>
      <c r="AA131" s="0" t="s">
        <v>37</v>
      </c>
      <c r="AB131" s="0" t="n">
        <v>0</v>
      </c>
      <c r="AC131" s="0" t="n">
        <v>0</v>
      </c>
    </row>
    <row r="132" customFormat="false" ht="15" hidden="false" customHeight="false" outlineLevel="0" collapsed="false">
      <c r="A132" s="0" t="n">
        <v>690</v>
      </c>
      <c r="B132" s="0" t="s">
        <v>36</v>
      </c>
      <c r="C132" s="0" t="s">
        <v>30</v>
      </c>
      <c r="D132" s="0" t="s">
        <v>31</v>
      </c>
      <c r="E132" s="0" t="s">
        <v>32</v>
      </c>
      <c r="H132" s="0" t="n">
        <v>11</v>
      </c>
      <c r="I132" s="0" t="n">
        <v>11</v>
      </c>
      <c r="J132" s="0" t="n">
        <v>0</v>
      </c>
      <c r="K132" s="0" t="n">
        <v>23.5</v>
      </c>
      <c r="L132" s="0" t="n">
        <v>20.39</v>
      </c>
      <c r="M132" s="0" t="n">
        <v>-3.11</v>
      </c>
      <c r="N132" s="0" t="n">
        <v>47626</v>
      </c>
      <c r="Q132" s="0" t="s">
        <v>33</v>
      </c>
      <c r="R132" s="0" t="n">
        <v>4054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Z132" s="0" t="s">
        <v>33</v>
      </c>
      <c r="AA132" s="0" t="s">
        <v>40</v>
      </c>
      <c r="AB132" s="0" t="n">
        <v>0</v>
      </c>
      <c r="AC132" s="0" t="n">
        <v>0</v>
      </c>
    </row>
    <row r="133" customFormat="false" ht="15" hidden="false" customHeight="false" outlineLevel="0" collapsed="false">
      <c r="A133" s="0" t="n">
        <v>699</v>
      </c>
      <c r="B133" s="0" t="s">
        <v>29</v>
      </c>
      <c r="C133" s="0" t="s">
        <v>41</v>
      </c>
      <c r="D133" s="0" t="s">
        <v>31</v>
      </c>
      <c r="E133" s="0" t="s">
        <v>32</v>
      </c>
      <c r="H133" s="0" t="n">
        <v>9</v>
      </c>
      <c r="I133" s="0" t="n">
        <v>4</v>
      </c>
      <c r="J133" s="0" t="n">
        <v>-5</v>
      </c>
      <c r="K133" s="0" t="n">
        <v>44.86</v>
      </c>
      <c r="L133" s="0" t="n">
        <v>59.29</v>
      </c>
      <c r="M133" s="0" t="n">
        <v>14.43</v>
      </c>
      <c r="N133" s="0" t="n">
        <v>14049</v>
      </c>
      <c r="Q133" s="0" t="s">
        <v>33</v>
      </c>
      <c r="R133" s="0" t="n">
        <v>4054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Z133" s="0" t="s">
        <v>34</v>
      </c>
      <c r="AA133" s="0" t="s">
        <v>37</v>
      </c>
      <c r="AB133" s="0" t="n">
        <v>0</v>
      </c>
      <c r="AC133" s="0" t="n">
        <v>0</v>
      </c>
    </row>
    <row r="134" customFormat="false" ht="15" hidden="false" customHeight="false" outlineLevel="0" collapsed="false">
      <c r="A134" s="0" t="n">
        <v>707</v>
      </c>
      <c r="B134" s="0" t="s">
        <v>29</v>
      </c>
      <c r="C134" s="0" t="s">
        <v>30</v>
      </c>
      <c r="D134" s="0" t="s">
        <v>31</v>
      </c>
      <c r="E134" s="0" t="s">
        <v>32</v>
      </c>
      <c r="H134" s="0" t="n">
        <v>11</v>
      </c>
      <c r="I134" s="0" t="n">
        <v>11</v>
      </c>
      <c r="J134" s="0" t="n">
        <v>0</v>
      </c>
      <c r="K134" s="0" t="n">
        <v>41.18</v>
      </c>
      <c r="L134" s="0" t="n">
        <v>38.69</v>
      </c>
      <c r="M134" s="0" t="n">
        <v>-2.49</v>
      </c>
      <c r="N134" s="0" t="n">
        <v>23577</v>
      </c>
      <c r="Q134" s="0" t="s">
        <v>33</v>
      </c>
      <c r="R134" s="0" t="n">
        <v>4054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Z134" s="0" t="s">
        <v>34</v>
      </c>
      <c r="AA134" s="0" t="s">
        <v>37</v>
      </c>
      <c r="AB134" s="0" t="n">
        <v>0</v>
      </c>
      <c r="AC134" s="0" t="n">
        <v>0</v>
      </c>
    </row>
    <row r="135" customFormat="false" ht="15" hidden="false" customHeight="false" outlineLevel="0" collapsed="false">
      <c r="A135" s="0" t="n">
        <v>776</v>
      </c>
      <c r="B135" s="0" t="s">
        <v>36</v>
      </c>
      <c r="C135" s="0" t="s">
        <v>38</v>
      </c>
      <c r="D135" s="0" t="s">
        <v>31</v>
      </c>
      <c r="E135" s="0" t="s">
        <v>32</v>
      </c>
      <c r="H135" s="0" t="n">
        <v>6</v>
      </c>
      <c r="I135" s="0" t="n">
        <v>6</v>
      </c>
      <c r="J135" s="0" t="n">
        <v>0</v>
      </c>
      <c r="K135" s="0" t="n">
        <v>34.98</v>
      </c>
      <c r="L135" s="0" t="n">
        <v>34.9</v>
      </c>
      <c r="M135" s="0" t="n">
        <v>-0.08</v>
      </c>
      <c r="N135" s="0" t="n">
        <v>27082</v>
      </c>
      <c r="Q135" s="0" t="s">
        <v>33</v>
      </c>
      <c r="R135" s="0" t="n">
        <v>4054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Z135" s="0" t="s">
        <v>34</v>
      </c>
      <c r="AA135" s="0" t="s">
        <v>37</v>
      </c>
      <c r="AB135" s="0" t="n">
        <v>0</v>
      </c>
      <c r="AC135" s="0" t="n">
        <v>0</v>
      </c>
    </row>
    <row r="136" customFormat="false" ht="15" hidden="false" customHeight="false" outlineLevel="0" collapsed="false">
      <c r="A136" s="0" t="n">
        <v>797</v>
      </c>
      <c r="B136" s="0" t="s">
        <v>29</v>
      </c>
      <c r="C136" s="0" t="s">
        <v>39</v>
      </c>
      <c r="D136" s="0" t="s">
        <v>31</v>
      </c>
      <c r="E136" s="0" t="s">
        <v>32</v>
      </c>
      <c r="H136" s="0" t="n">
        <v>3</v>
      </c>
      <c r="I136" s="0" t="n">
        <v>2</v>
      </c>
      <c r="J136" s="0" t="n">
        <v>-1</v>
      </c>
      <c r="K136" s="0" t="n">
        <v>53.28</v>
      </c>
      <c r="L136" s="0" t="n">
        <v>51.03</v>
      </c>
      <c r="M136" s="0" t="n">
        <v>-2.25</v>
      </c>
      <c r="N136" s="0" t="n">
        <v>17560</v>
      </c>
      <c r="Q136" s="0" t="s">
        <v>33</v>
      </c>
      <c r="R136" s="0" t="n">
        <v>4054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Z136" s="0" t="s">
        <v>34</v>
      </c>
      <c r="AA136" s="0" t="s">
        <v>37</v>
      </c>
      <c r="AB136" s="0" t="n">
        <v>0</v>
      </c>
      <c r="AC136" s="0" t="n">
        <v>0</v>
      </c>
    </row>
    <row r="137" customFormat="false" ht="15" hidden="false" customHeight="false" outlineLevel="0" collapsed="false">
      <c r="A137" s="0" t="n">
        <v>798</v>
      </c>
      <c r="B137" s="0" t="s">
        <v>29</v>
      </c>
      <c r="C137" s="0" t="s">
        <v>43</v>
      </c>
      <c r="D137" s="0" t="s">
        <v>31</v>
      </c>
      <c r="E137" s="0" t="s">
        <v>32</v>
      </c>
      <c r="H137" s="0" t="n">
        <v>4</v>
      </c>
      <c r="I137" s="0" t="n">
        <v>5</v>
      </c>
      <c r="J137" s="0" t="n">
        <v>1</v>
      </c>
      <c r="K137" s="0" t="n">
        <v>53.39</v>
      </c>
      <c r="L137" s="0" t="n">
        <v>54.23</v>
      </c>
      <c r="M137" s="0" t="n">
        <v>0.84</v>
      </c>
      <c r="N137" s="0" t="n">
        <v>17055</v>
      </c>
      <c r="Q137" s="0" t="s">
        <v>33</v>
      </c>
      <c r="R137" s="0" t="n">
        <v>4054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Z137" s="0" t="s">
        <v>34</v>
      </c>
      <c r="AA137" s="0" t="s">
        <v>37</v>
      </c>
      <c r="AB137" s="0" t="n">
        <v>0</v>
      </c>
      <c r="AC137" s="0" t="n">
        <v>0</v>
      </c>
    </row>
    <row r="138" customFormat="false" ht="15" hidden="false" customHeight="false" outlineLevel="0" collapsed="false">
      <c r="A138" s="0" t="n">
        <v>801</v>
      </c>
      <c r="B138" s="0" t="s">
        <v>29</v>
      </c>
      <c r="C138" s="0" t="s">
        <v>43</v>
      </c>
      <c r="D138" s="0" t="s">
        <v>31</v>
      </c>
      <c r="E138" s="0" t="s">
        <v>32</v>
      </c>
      <c r="H138" s="0" t="n">
        <v>8</v>
      </c>
      <c r="I138" s="0" t="n">
        <v>7</v>
      </c>
      <c r="J138" s="0" t="n">
        <v>-1</v>
      </c>
      <c r="K138" s="0" t="n">
        <v>52.84</v>
      </c>
      <c r="L138" s="0" t="n">
        <v>56.26</v>
      </c>
      <c r="M138" s="0" t="n">
        <v>3.42</v>
      </c>
      <c r="N138" s="0" t="n">
        <v>15051</v>
      </c>
      <c r="Q138" s="0" t="s">
        <v>33</v>
      </c>
      <c r="R138" s="0" t="n">
        <v>4054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Z138" s="0" t="s">
        <v>33</v>
      </c>
      <c r="AA138" s="0" t="s">
        <v>40</v>
      </c>
      <c r="AB138" s="0" t="n">
        <v>0</v>
      </c>
      <c r="AC138" s="0" t="n">
        <v>0</v>
      </c>
    </row>
    <row r="139" customFormat="false" ht="15" hidden="false" customHeight="false" outlineLevel="0" collapsed="false">
      <c r="A139" s="0" t="n">
        <v>876</v>
      </c>
      <c r="B139" s="0" t="s">
        <v>36</v>
      </c>
      <c r="C139" s="0" t="s">
        <v>52</v>
      </c>
      <c r="D139" s="0" t="s">
        <v>31</v>
      </c>
      <c r="E139" s="0" t="s">
        <v>32</v>
      </c>
      <c r="H139" s="0" t="n">
        <v>2</v>
      </c>
      <c r="I139" s="0" t="n">
        <v>2</v>
      </c>
      <c r="J139" s="0" t="n">
        <v>0</v>
      </c>
      <c r="K139" s="0" t="n">
        <v>0</v>
      </c>
      <c r="L139" s="0" t="n">
        <v>51.46</v>
      </c>
      <c r="M139" s="0" t="n">
        <v>51.46</v>
      </c>
      <c r="N139" s="0" t="n">
        <v>15053</v>
      </c>
      <c r="Q139" s="0" t="s">
        <v>33</v>
      </c>
      <c r="R139" s="0" t="n">
        <v>4054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Z139" s="0" t="s">
        <v>34</v>
      </c>
      <c r="AA139" s="0" t="s">
        <v>37</v>
      </c>
      <c r="AB139" s="0" t="n">
        <v>0</v>
      </c>
      <c r="AC139" s="0" t="n">
        <v>0</v>
      </c>
    </row>
    <row r="140" customFormat="false" ht="15" hidden="false" customHeight="false" outlineLevel="0" collapsed="false">
      <c r="A140" s="0" t="n">
        <v>903</v>
      </c>
      <c r="B140" s="0" t="s">
        <v>29</v>
      </c>
      <c r="C140" s="0" t="s">
        <v>38</v>
      </c>
      <c r="D140" s="0" t="s">
        <v>31</v>
      </c>
      <c r="E140" s="0" t="s">
        <v>32</v>
      </c>
      <c r="H140" s="0" t="n">
        <v>6</v>
      </c>
      <c r="I140" s="0" t="n">
        <v>6</v>
      </c>
      <c r="J140" s="0" t="n">
        <v>0</v>
      </c>
      <c r="K140" s="0" t="n">
        <v>53.56</v>
      </c>
      <c r="L140" s="0" t="n">
        <v>53.56</v>
      </c>
      <c r="M140" s="0" t="n">
        <v>0</v>
      </c>
      <c r="N140" s="0" t="n">
        <v>16557</v>
      </c>
      <c r="Q140" s="0" t="s">
        <v>33</v>
      </c>
      <c r="R140" s="0" t="n">
        <v>4054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Z140" s="0" t="s">
        <v>33</v>
      </c>
      <c r="AA140" s="0" t="s">
        <v>40</v>
      </c>
      <c r="AB140" s="0" t="n">
        <v>0</v>
      </c>
      <c r="AC140" s="0" t="n">
        <v>0</v>
      </c>
    </row>
    <row r="141" customFormat="false" ht="15" hidden="false" customHeight="false" outlineLevel="0" collapsed="false">
      <c r="A141" s="0" t="n">
        <v>927</v>
      </c>
      <c r="B141" s="0" t="s">
        <v>29</v>
      </c>
      <c r="C141" s="0" t="s">
        <v>30</v>
      </c>
      <c r="D141" s="0" t="s">
        <v>31</v>
      </c>
      <c r="E141" s="0" t="s">
        <v>32</v>
      </c>
      <c r="H141" s="0" t="n">
        <v>7</v>
      </c>
      <c r="I141" s="0" t="n">
        <v>5</v>
      </c>
      <c r="J141" s="0" t="n">
        <v>-2</v>
      </c>
      <c r="K141" s="0" t="n">
        <v>69.29</v>
      </c>
      <c r="L141" s="0" t="n">
        <v>68.97</v>
      </c>
      <c r="M141" s="0" t="n">
        <v>-0.32</v>
      </c>
      <c r="N141" s="0" t="n">
        <v>10537</v>
      </c>
      <c r="Q141" s="0" t="s">
        <v>33</v>
      </c>
      <c r="R141" s="0" t="n">
        <v>4054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Z141" s="0" t="s">
        <v>34</v>
      </c>
      <c r="AA141" s="0" t="s">
        <v>37</v>
      </c>
      <c r="AB141" s="0" t="n">
        <v>0</v>
      </c>
      <c r="AC141" s="0" t="n">
        <v>0</v>
      </c>
    </row>
    <row r="142" customFormat="false" ht="15" hidden="false" customHeight="false" outlineLevel="0" collapsed="false">
      <c r="A142" s="0" t="n">
        <v>945</v>
      </c>
      <c r="B142" s="0" t="s">
        <v>36</v>
      </c>
      <c r="C142" s="0" t="s">
        <v>38</v>
      </c>
      <c r="D142" s="0" t="s">
        <v>31</v>
      </c>
      <c r="E142" s="0" t="s">
        <v>32</v>
      </c>
      <c r="H142" s="0" t="n">
        <v>6</v>
      </c>
      <c r="I142" s="0" t="n">
        <v>6</v>
      </c>
      <c r="J142" s="0" t="n">
        <v>0</v>
      </c>
      <c r="K142" s="0" t="n">
        <v>34.58</v>
      </c>
      <c r="L142" s="0" t="n">
        <v>34.58</v>
      </c>
      <c r="M142" s="0" t="n">
        <v>0</v>
      </c>
      <c r="N142" s="0" t="n">
        <v>28081</v>
      </c>
      <c r="Q142" s="0" t="s">
        <v>33</v>
      </c>
      <c r="R142" s="0" t="n">
        <v>4054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Z142" s="0" t="s">
        <v>34</v>
      </c>
      <c r="AA142" s="0" t="s">
        <v>37</v>
      </c>
      <c r="AB142" s="0" t="n">
        <v>0</v>
      </c>
      <c r="AC142" s="0" t="n">
        <v>0</v>
      </c>
    </row>
    <row r="143" customFormat="false" ht="15" hidden="false" customHeight="false" outlineLevel="0" collapsed="false">
      <c r="A143" s="0" t="n">
        <v>946</v>
      </c>
      <c r="B143" s="0" t="s">
        <v>42</v>
      </c>
      <c r="C143" s="0" t="s">
        <v>39</v>
      </c>
      <c r="D143" s="0" t="s">
        <v>31</v>
      </c>
      <c r="E143" s="0" t="s">
        <v>32</v>
      </c>
      <c r="H143" s="0" t="n">
        <v>4</v>
      </c>
      <c r="I143" s="0" t="n">
        <v>4</v>
      </c>
      <c r="J143" s="0" t="n">
        <v>0</v>
      </c>
      <c r="K143" s="0" t="n">
        <v>66.34</v>
      </c>
      <c r="L143" s="0" t="n">
        <v>60.56</v>
      </c>
      <c r="M143" s="0" t="n">
        <v>-5.78</v>
      </c>
      <c r="N143" s="0" t="n">
        <v>15057</v>
      </c>
      <c r="Q143" s="0" t="s">
        <v>33</v>
      </c>
      <c r="R143" s="0" t="n">
        <v>4054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Z143" s="0" t="s">
        <v>34</v>
      </c>
      <c r="AA143" s="0" t="s">
        <v>37</v>
      </c>
      <c r="AB143" s="0" t="n">
        <v>0</v>
      </c>
      <c r="AC143" s="0" t="n">
        <v>0</v>
      </c>
    </row>
    <row r="144" customFormat="false" ht="15" hidden="false" customHeight="false" outlineLevel="0" collapsed="false">
      <c r="A144" s="0" t="n">
        <v>957</v>
      </c>
      <c r="B144" s="0" t="s">
        <v>29</v>
      </c>
      <c r="C144" s="0" t="s">
        <v>45</v>
      </c>
      <c r="D144" s="0" t="s">
        <v>31</v>
      </c>
      <c r="E144" s="0" t="s">
        <v>32</v>
      </c>
      <c r="H144" s="0" t="n">
        <v>6</v>
      </c>
      <c r="I144" s="0" t="n">
        <v>7</v>
      </c>
      <c r="J144" s="0" t="n">
        <v>1</v>
      </c>
      <c r="K144" s="0" t="n">
        <v>53.69</v>
      </c>
      <c r="L144" s="0" t="n">
        <v>40.65</v>
      </c>
      <c r="M144" s="0" t="n">
        <v>-13.04</v>
      </c>
      <c r="N144" s="0" t="n">
        <v>24567</v>
      </c>
      <c r="Q144" s="0" t="s">
        <v>33</v>
      </c>
      <c r="R144" s="0" t="n">
        <v>4054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Z144" s="0" t="s">
        <v>33</v>
      </c>
      <c r="AA144" s="0" t="s">
        <v>40</v>
      </c>
      <c r="AB144" s="0" t="n">
        <v>0</v>
      </c>
      <c r="AC144" s="0" t="n">
        <v>0</v>
      </c>
    </row>
    <row r="145" customFormat="false" ht="15" hidden="false" customHeight="false" outlineLevel="0" collapsed="false">
      <c r="A145" s="0" t="n">
        <v>967</v>
      </c>
      <c r="B145" s="0" t="s">
        <v>42</v>
      </c>
      <c r="C145" s="0" t="s">
        <v>44</v>
      </c>
      <c r="D145" s="0" t="s">
        <v>31</v>
      </c>
      <c r="E145" s="0" t="s">
        <v>32</v>
      </c>
      <c r="H145" s="0" t="n">
        <v>3</v>
      </c>
      <c r="I145" s="0" t="n">
        <v>3</v>
      </c>
      <c r="J145" s="0" t="n">
        <v>0</v>
      </c>
      <c r="K145" s="0" t="n">
        <v>63.39</v>
      </c>
      <c r="L145" s="0" t="n">
        <v>63.95</v>
      </c>
      <c r="M145" s="0" t="n">
        <v>0.56</v>
      </c>
      <c r="N145" s="0" t="n">
        <v>12543</v>
      </c>
      <c r="Q145" s="0" t="s">
        <v>33</v>
      </c>
      <c r="R145" s="0" t="n">
        <v>4054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Z145" s="0" t="s">
        <v>34</v>
      </c>
      <c r="AA145" s="0" t="s">
        <v>37</v>
      </c>
      <c r="AB145" s="0" t="n">
        <v>0</v>
      </c>
      <c r="AC145" s="0" t="n">
        <v>0</v>
      </c>
    </row>
    <row r="146" customFormat="false" ht="15" hidden="false" customHeight="false" outlineLevel="0" collapsed="false">
      <c r="A146" s="0" t="n">
        <v>975</v>
      </c>
      <c r="B146" s="0" t="s">
        <v>29</v>
      </c>
      <c r="C146" s="0" t="s">
        <v>45</v>
      </c>
      <c r="D146" s="0" t="s">
        <v>31</v>
      </c>
      <c r="E146" s="0" t="s">
        <v>32</v>
      </c>
      <c r="H146" s="0" t="n">
        <v>2</v>
      </c>
      <c r="I146" s="0" t="n">
        <v>2</v>
      </c>
      <c r="J146" s="0" t="n">
        <v>0</v>
      </c>
      <c r="K146" s="0" t="n">
        <v>45.1</v>
      </c>
      <c r="L146" s="0" t="n">
        <v>37.9</v>
      </c>
      <c r="M146" s="0" t="n">
        <v>-7.2</v>
      </c>
      <c r="N146" s="0" t="n">
        <v>27587</v>
      </c>
      <c r="Q146" s="0" t="s">
        <v>33</v>
      </c>
      <c r="R146" s="0" t="n">
        <v>4054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Z146" s="0" t="s">
        <v>34</v>
      </c>
      <c r="AA146" s="0" t="s">
        <v>37</v>
      </c>
      <c r="AB146" s="0" t="n">
        <v>0</v>
      </c>
      <c r="AC146" s="0" t="n">
        <v>0</v>
      </c>
    </row>
    <row r="147" customFormat="false" ht="15" hidden="false" customHeight="false" outlineLevel="0" collapsed="false">
      <c r="A147" s="0" t="n">
        <v>1008</v>
      </c>
      <c r="B147" s="0" t="s">
        <v>29</v>
      </c>
      <c r="C147" s="0" t="s">
        <v>46</v>
      </c>
      <c r="D147" s="0" t="s">
        <v>31</v>
      </c>
      <c r="E147" s="0" t="s">
        <v>32</v>
      </c>
      <c r="H147" s="0" t="n">
        <v>8</v>
      </c>
      <c r="I147" s="0" t="n">
        <v>5</v>
      </c>
      <c r="J147" s="0" t="n">
        <v>-3</v>
      </c>
      <c r="K147" s="0" t="n">
        <v>42.71</v>
      </c>
      <c r="L147" s="0" t="n">
        <v>38.76</v>
      </c>
      <c r="M147" s="0" t="n">
        <v>-3.95</v>
      </c>
      <c r="N147" s="0" t="n">
        <v>30086</v>
      </c>
      <c r="Q147" s="0" t="s">
        <v>33</v>
      </c>
      <c r="R147" s="0" t="n">
        <v>4054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Z147" s="0" t="s">
        <v>34</v>
      </c>
      <c r="AA147" s="0" t="s">
        <v>37</v>
      </c>
      <c r="AB147" s="0" t="n">
        <v>0</v>
      </c>
      <c r="AC147" s="0" t="n">
        <v>0</v>
      </c>
    </row>
    <row r="148" customFormat="false" ht="15" hidden="false" customHeight="false" outlineLevel="0" collapsed="false">
      <c r="A148" s="0" t="n">
        <v>1011</v>
      </c>
      <c r="B148" s="0" t="s">
        <v>42</v>
      </c>
      <c r="C148" s="0" t="s">
        <v>47</v>
      </c>
      <c r="D148" s="0" t="s">
        <v>31</v>
      </c>
      <c r="E148" s="0" t="s">
        <v>32</v>
      </c>
      <c r="H148" s="0" t="n">
        <v>4</v>
      </c>
      <c r="I148" s="0" t="n">
        <v>4</v>
      </c>
      <c r="J148" s="0" t="n">
        <v>0</v>
      </c>
      <c r="K148" s="0" t="n">
        <v>60.07</v>
      </c>
      <c r="L148" s="0" t="n">
        <v>55.58</v>
      </c>
      <c r="M148" s="0" t="n">
        <v>-4.49</v>
      </c>
      <c r="N148" s="0" t="n">
        <v>13546</v>
      </c>
      <c r="Q148" s="0" t="s">
        <v>33</v>
      </c>
      <c r="R148" s="0" t="n">
        <v>4054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Z148" s="0" t="s">
        <v>34</v>
      </c>
      <c r="AA148" s="0" t="s">
        <v>37</v>
      </c>
      <c r="AB148" s="0" t="n">
        <v>0</v>
      </c>
      <c r="AC148" s="0" t="n">
        <v>0</v>
      </c>
    </row>
    <row r="149" customFormat="false" ht="15" hidden="false" customHeight="false" outlineLevel="0" collapsed="false">
      <c r="A149" s="0" t="n">
        <v>1014</v>
      </c>
      <c r="B149" s="0" t="s">
        <v>36</v>
      </c>
      <c r="C149" s="0" t="s">
        <v>39</v>
      </c>
      <c r="D149" s="0" t="s">
        <v>31</v>
      </c>
      <c r="E149" s="0" t="s">
        <v>32</v>
      </c>
      <c r="H149" s="0" t="n">
        <v>4</v>
      </c>
      <c r="I149" s="0" t="n">
        <v>3</v>
      </c>
      <c r="J149" s="0" t="n">
        <v>-1</v>
      </c>
      <c r="K149" s="0" t="n">
        <v>66.08</v>
      </c>
      <c r="L149" s="0" t="n">
        <v>67.03</v>
      </c>
      <c r="M149" s="0" t="n">
        <v>0.95</v>
      </c>
      <c r="N149" s="0" t="n">
        <v>11042</v>
      </c>
      <c r="Q149" s="0" t="s">
        <v>33</v>
      </c>
      <c r="R149" s="0" t="n">
        <v>4054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Z149" s="0" t="s">
        <v>33</v>
      </c>
      <c r="AA149" s="0" t="s">
        <v>40</v>
      </c>
      <c r="AB149" s="0" t="n">
        <v>0</v>
      </c>
      <c r="AC149" s="0" t="n">
        <v>0</v>
      </c>
    </row>
    <row r="150" customFormat="false" ht="15" hidden="false" customHeight="false" outlineLevel="0" collapsed="false">
      <c r="A150" s="0" t="n">
        <v>1027</v>
      </c>
      <c r="B150" s="0" t="s">
        <v>42</v>
      </c>
      <c r="C150" s="0" t="s">
        <v>38</v>
      </c>
      <c r="D150" s="0" t="s">
        <v>31</v>
      </c>
      <c r="E150" s="0" t="s">
        <v>32</v>
      </c>
      <c r="H150" s="0" t="n">
        <v>4</v>
      </c>
      <c r="I150" s="0" t="n">
        <v>4</v>
      </c>
      <c r="J150" s="0" t="n">
        <v>0</v>
      </c>
      <c r="K150" s="0" t="n">
        <v>64.95</v>
      </c>
      <c r="L150" s="0" t="n">
        <v>64.95</v>
      </c>
      <c r="M150" s="0" t="n">
        <v>0</v>
      </c>
      <c r="N150" s="0" t="n">
        <v>13043</v>
      </c>
      <c r="Q150" s="0" t="s">
        <v>33</v>
      </c>
      <c r="R150" s="0" t="n">
        <v>4054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Z150" s="0" t="s">
        <v>34</v>
      </c>
      <c r="AA150" s="0" t="s">
        <v>37</v>
      </c>
      <c r="AB150" s="0" t="n">
        <v>0</v>
      </c>
      <c r="AC150" s="0" t="n">
        <v>0</v>
      </c>
    </row>
    <row r="151" customFormat="false" ht="15" hidden="false" customHeight="false" outlineLevel="0" collapsed="false">
      <c r="A151" s="0" t="n">
        <v>1035</v>
      </c>
      <c r="B151" s="0" t="s">
        <v>42</v>
      </c>
      <c r="C151" s="0" t="s">
        <v>30</v>
      </c>
      <c r="D151" s="0" t="s">
        <v>31</v>
      </c>
      <c r="E151" s="0" t="s">
        <v>32</v>
      </c>
      <c r="H151" s="0" t="n">
        <v>5</v>
      </c>
      <c r="I151" s="0" t="n">
        <v>5</v>
      </c>
      <c r="J151" s="0" t="n">
        <v>0</v>
      </c>
      <c r="K151" s="0" t="n">
        <v>62.68</v>
      </c>
      <c r="L151" s="0" t="n">
        <v>59.19</v>
      </c>
      <c r="M151" s="0" t="n">
        <v>-3.49</v>
      </c>
      <c r="N151" s="0" t="n">
        <v>13549</v>
      </c>
      <c r="Q151" s="0" t="s">
        <v>33</v>
      </c>
      <c r="R151" s="0" t="n">
        <v>4054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Z151" s="0" t="s">
        <v>34</v>
      </c>
      <c r="AA151" s="0" t="s">
        <v>37</v>
      </c>
      <c r="AB151" s="0" t="n">
        <v>0</v>
      </c>
      <c r="AC151" s="0" t="n">
        <v>0</v>
      </c>
    </row>
    <row r="152" customFormat="false" ht="15" hidden="false" customHeight="false" outlineLevel="0" collapsed="false">
      <c r="A152" s="0" t="n">
        <v>1038</v>
      </c>
      <c r="B152" s="0" t="s">
        <v>29</v>
      </c>
      <c r="C152" s="0" t="s">
        <v>41</v>
      </c>
      <c r="D152" s="0" t="s">
        <v>31</v>
      </c>
      <c r="E152" s="0" t="s">
        <v>32</v>
      </c>
      <c r="H152" s="0" t="n">
        <v>4</v>
      </c>
      <c r="I152" s="0" t="n">
        <v>4</v>
      </c>
      <c r="J152" s="0" t="n">
        <v>0</v>
      </c>
      <c r="K152" s="0" t="n">
        <v>48.05</v>
      </c>
      <c r="L152" s="0" t="n">
        <v>45.85</v>
      </c>
      <c r="M152" s="0" t="n">
        <v>-2.2</v>
      </c>
      <c r="N152" s="0" t="n">
        <v>23070</v>
      </c>
      <c r="Q152" s="0" t="s">
        <v>33</v>
      </c>
      <c r="R152" s="0" t="n">
        <v>4038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Z152" s="0" t="s">
        <v>33</v>
      </c>
      <c r="AA152" s="0" t="s">
        <v>40</v>
      </c>
      <c r="AB152" s="0" t="n">
        <v>0</v>
      </c>
      <c r="AC152" s="0" t="n">
        <v>0</v>
      </c>
    </row>
    <row r="153" customFormat="false" ht="15" hidden="false" customHeight="false" outlineLevel="0" collapsed="false">
      <c r="A153" s="0" t="n">
        <v>1043</v>
      </c>
      <c r="B153" s="0" t="s">
        <v>42</v>
      </c>
      <c r="C153" s="0" t="s">
        <v>39</v>
      </c>
      <c r="D153" s="0" t="s">
        <v>31</v>
      </c>
      <c r="E153" s="0" t="s">
        <v>32</v>
      </c>
      <c r="H153" s="0" t="n">
        <v>3</v>
      </c>
      <c r="I153" s="0" t="n">
        <v>3</v>
      </c>
      <c r="J153" s="0" t="n">
        <v>0</v>
      </c>
      <c r="K153" s="0" t="n">
        <v>76.52</v>
      </c>
      <c r="L153" s="0" t="n">
        <v>69.37</v>
      </c>
      <c r="M153" s="0" t="n">
        <v>-7.15</v>
      </c>
      <c r="N153" s="0" t="n">
        <v>10533</v>
      </c>
      <c r="Q153" s="0" t="s">
        <v>33</v>
      </c>
      <c r="R153" s="0" t="n">
        <v>4038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Z153" s="0" t="s">
        <v>34</v>
      </c>
      <c r="AA153" s="0" t="s">
        <v>37</v>
      </c>
      <c r="AB153" s="0" t="n">
        <v>0</v>
      </c>
      <c r="AC153" s="0" t="n">
        <v>0</v>
      </c>
    </row>
    <row r="154" customFormat="false" ht="15" hidden="false" customHeight="false" outlineLevel="0" collapsed="false">
      <c r="A154" s="0" t="n">
        <v>1047</v>
      </c>
      <c r="B154" s="0" t="s">
        <v>42</v>
      </c>
      <c r="C154" s="0" t="s">
        <v>43</v>
      </c>
      <c r="D154" s="0" t="s">
        <v>31</v>
      </c>
      <c r="E154" s="0" t="s">
        <v>32</v>
      </c>
      <c r="H154" s="0" t="n">
        <v>9</v>
      </c>
      <c r="I154" s="0" t="n">
        <v>9</v>
      </c>
      <c r="J154" s="0" t="n">
        <v>0</v>
      </c>
      <c r="K154" s="0" t="n">
        <v>57.33</v>
      </c>
      <c r="L154" s="0" t="n">
        <v>55.46</v>
      </c>
      <c r="M154" s="0" t="n">
        <v>-1.87</v>
      </c>
      <c r="N154" s="0" t="n">
        <v>13043</v>
      </c>
      <c r="Q154" s="0" t="s">
        <v>33</v>
      </c>
      <c r="R154" s="0" t="n">
        <v>4040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Z154" s="0" t="s">
        <v>34</v>
      </c>
      <c r="AA154" s="0" t="s">
        <v>35</v>
      </c>
      <c r="AB154" s="0" t="n">
        <v>1</v>
      </c>
      <c r="AC154" s="0" t="n">
        <v>0</v>
      </c>
    </row>
    <row r="155" customFormat="false" ht="15" hidden="false" customHeight="false" outlineLevel="0" collapsed="false">
      <c r="A155" s="0" t="n">
        <v>1053</v>
      </c>
      <c r="B155" s="0" t="s">
        <v>29</v>
      </c>
      <c r="C155" s="0" t="s">
        <v>38</v>
      </c>
      <c r="D155" s="0" t="s">
        <v>31</v>
      </c>
      <c r="E155" s="0" t="s">
        <v>32</v>
      </c>
      <c r="H155" s="0" t="n">
        <v>6</v>
      </c>
      <c r="I155" s="0" t="n">
        <v>6</v>
      </c>
      <c r="J155" s="0" t="n">
        <v>0</v>
      </c>
      <c r="K155" s="0" t="n">
        <v>44.39</v>
      </c>
      <c r="L155" s="0" t="n">
        <v>44.39</v>
      </c>
      <c r="M155" s="0" t="n">
        <v>0</v>
      </c>
      <c r="N155" s="0" t="n">
        <v>20573</v>
      </c>
      <c r="Q155" s="0" t="s">
        <v>33</v>
      </c>
      <c r="R155" s="0" t="n">
        <v>4040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Z155" s="0" t="s">
        <v>34</v>
      </c>
      <c r="AA155" s="0" t="s">
        <v>37</v>
      </c>
      <c r="AB155" s="0" t="n">
        <v>0</v>
      </c>
      <c r="AC155" s="0" t="n">
        <v>0</v>
      </c>
    </row>
    <row r="156" customFormat="false" ht="15" hidden="false" customHeight="false" outlineLevel="0" collapsed="false">
      <c r="A156" s="0" t="n">
        <v>1060</v>
      </c>
      <c r="B156" s="0" t="s">
        <v>42</v>
      </c>
      <c r="C156" s="0" t="s">
        <v>47</v>
      </c>
      <c r="D156" s="0" t="s">
        <v>31</v>
      </c>
      <c r="E156" s="0" t="s">
        <v>32</v>
      </c>
      <c r="H156" s="0" t="n">
        <v>2</v>
      </c>
      <c r="I156" s="0" t="n">
        <v>2</v>
      </c>
      <c r="J156" s="0" t="n">
        <v>0</v>
      </c>
      <c r="K156" s="0" t="n">
        <v>67.5</v>
      </c>
      <c r="L156" s="0" t="n">
        <v>69.93</v>
      </c>
      <c r="M156" s="0" t="n">
        <v>2.43</v>
      </c>
      <c r="N156" s="0" t="n">
        <v>9538</v>
      </c>
      <c r="Q156" s="0" t="s">
        <v>33</v>
      </c>
      <c r="R156" s="0" t="n">
        <v>4040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Z156" s="0" t="s">
        <v>34</v>
      </c>
      <c r="AA156" s="0" t="s">
        <v>37</v>
      </c>
      <c r="AB156" s="0" t="n">
        <v>0</v>
      </c>
      <c r="AC156" s="0" t="n">
        <v>0</v>
      </c>
    </row>
    <row r="157" customFormat="false" ht="15" hidden="false" customHeight="false" outlineLevel="0" collapsed="false">
      <c r="A157" s="0" t="n">
        <v>1068</v>
      </c>
      <c r="B157" s="0" t="s">
        <v>29</v>
      </c>
      <c r="C157" s="0" t="s">
        <v>43</v>
      </c>
      <c r="D157" s="0" t="s">
        <v>31</v>
      </c>
      <c r="E157" s="0" t="s">
        <v>32</v>
      </c>
      <c r="H157" s="0" t="n">
        <v>6</v>
      </c>
      <c r="I157" s="0" t="n">
        <v>6</v>
      </c>
      <c r="J157" s="0" t="n">
        <v>0</v>
      </c>
      <c r="K157" s="0" t="n">
        <v>47.18</v>
      </c>
      <c r="L157" s="0" t="n">
        <v>47.27</v>
      </c>
      <c r="M157" s="0" t="n">
        <v>0.09</v>
      </c>
      <c r="N157" s="0" t="n">
        <v>19564</v>
      </c>
      <c r="Q157" s="0" t="s">
        <v>33</v>
      </c>
      <c r="R157" s="0" t="n">
        <v>4040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Z157" s="0" t="s">
        <v>33</v>
      </c>
      <c r="AA157" s="0" t="s">
        <v>40</v>
      </c>
      <c r="AB157" s="0" t="n">
        <v>0</v>
      </c>
      <c r="AC157" s="0" t="n">
        <v>0</v>
      </c>
    </row>
    <row r="158" customFormat="false" ht="15" hidden="false" customHeight="false" outlineLevel="0" collapsed="false">
      <c r="A158" s="0" t="n">
        <v>1069</v>
      </c>
      <c r="B158" s="0" t="s">
        <v>29</v>
      </c>
      <c r="C158" s="0" t="s">
        <v>45</v>
      </c>
      <c r="D158" s="0" t="s">
        <v>31</v>
      </c>
      <c r="E158" s="0" t="s">
        <v>32</v>
      </c>
      <c r="H158" s="0" t="n">
        <v>4</v>
      </c>
      <c r="I158" s="0" t="n">
        <v>7</v>
      </c>
      <c r="J158" s="0" t="n">
        <v>3</v>
      </c>
      <c r="K158" s="0" t="n">
        <v>40.64</v>
      </c>
      <c r="L158" s="0" t="n">
        <v>37.61</v>
      </c>
      <c r="M158" s="0" t="n">
        <v>-3.03</v>
      </c>
      <c r="N158" s="0" t="n">
        <v>27082</v>
      </c>
      <c r="Q158" s="0" t="s">
        <v>33</v>
      </c>
      <c r="R158" s="0" t="n">
        <v>4040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Z158" s="0" t="s">
        <v>33</v>
      </c>
      <c r="AA158" s="0" t="s">
        <v>40</v>
      </c>
      <c r="AB158" s="0" t="n">
        <v>0</v>
      </c>
      <c r="AC158" s="0" t="n">
        <v>0</v>
      </c>
    </row>
    <row r="159" customFormat="false" ht="15" hidden="false" customHeight="false" outlineLevel="0" collapsed="false">
      <c r="A159" s="0" t="n">
        <v>1092</v>
      </c>
      <c r="B159" s="0" t="s">
        <v>42</v>
      </c>
      <c r="C159" s="0" t="s">
        <v>52</v>
      </c>
      <c r="D159" s="0" t="s">
        <v>31</v>
      </c>
      <c r="E159" s="0" t="s">
        <v>32</v>
      </c>
      <c r="H159" s="0" t="n">
        <v>8</v>
      </c>
      <c r="I159" s="0" t="n">
        <v>8</v>
      </c>
      <c r="J159" s="0" t="n">
        <v>0</v>
      </c>
      <c r="K159" s="0" t="n">
        <v>37.86</v>
      </c>
      <c r="L159" s="0" t="n">
        <v>37.97</v>
      </c>
      <c r="M159" s="0" t="n">
        <v>0.11</v>
      </c>
      <c r="N159" s="0" t="n">
        <v>28580</v>
      </c>
      <c r="Q159" s="0" t="s">
        <v>33</v>
      </c>
      <c r="R159" s="0" t="n">
        <v>4040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Z159" s="0" t="s">
        <v>33</v>
      </c>
      <c r="AA159" s="0" t="s">
        <v>40</v>
      </c>
      <c r="AB159" s="0" t="n">
        <v>0</v>
      </c>
      <c r="AC159" s="0" t="n">
        <v>0</v>
      </c>
    </row>
    <row r="160" customFormat="false" ht="15" hidden="false" customHeight="false" outlineLevel="0" collapsed="false">
      <c r="A160" s="0" t="n">
        <v>1096</v>
      </c>
      <c r="B160" s="0" t="s">
        <v>42</v>
      </c>
      <c r="C160" s="0" t="s">
        <v>44</v>
      </c>
      <c r="D160" s="0" t="s">
        <v>31</v>
      </c>
      <c r="E160" s="0" t="s">
        <v>32</v>
      </c>
      <c r="H160" s="0" t="n">
        <v>3</v>
      </c>
      <c r="I160" s="0" t="n">
        <v>3</v>
      </c>
      <c r="J160" s="0" t="n">
        <v>0</v>
      </c>
      <c r="K160" s="0" t="n">
        <v>56.31</v>
      </c>
      <c r="L160" s="0" t="n">
        <v>51.49</v>
      </c>
      <c r="M160" s="0" t="n">
        <v>-4.82</v>
      </c>
      <c r="N160" s="0" t="n">
        <v>15054</v>
      </c>
      <c r="Q160" s="0" t="s">
        <v>33</v>
      </c>
      <c r="R160" s="0" t="n">
        <v>4040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Z160" s="0" t="s">
        <v>34</v>
      </c>
      <c r="AA160" s="0" t="s">
        <v>37</v>
      </c>
      <c r="AB160" s="0" t="n">
        <v>0</v>
      </c>
      <c r="AC160" s="0" t="n">
        <v>0</v>
      </c>
    </row>
    <row r="161" customFormat="false" ht="15" hidden="false" customHeight="false" outlineLevel="0" collapsed="false">
      <c r="A161" s="0" t="n">
        <v>1098</v>
      </c>
      <c r="B161" s="0" t="s">
        <v>29</v>
      </c>
      <c r="C161" s="0" t="s">
        <v>41</v>
      </c>
      <c r="D161" s="0" t="s">
        <v>31</v>
      </c>
      <c r="E161" s="0" t="s">
        <v>32</v>
      </c>
      <c r="H161" s="0" t="n">
        <v>6</v>
      </c>
      <c r="I161" s="0" t="n">
        <v>6</v>
      </c>
      <c r="J161" s="0" t="n">
        <v>0</v>
      </c>
      <c r="K161" s="0" t="n">
        <v>40.13</v>
      </c>
      <c r="L161" s="0" t="n">
        <v>40.13</v>
      </c>
      <c r="M161" s="0" t="n">
        <v>0</v>
      </c>
      <c r="N161" s="0" t="n">
        <v>23072</v>
      </c>
      <c r="Q161" s="0" t="s">
        <v>33</v>
      </c>
      <c r="R161" s="0" t="n">
        <v>4040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Z161" s="0" t="s">
        <v>34</v>
      </c>
      <c r="AA161" s="0" t="s">
        <v>37</v>
      </c>
      <c r="AB161" s="0" t="n">
        <v>0</v>
      </c>
      <c r="AC161" s="0" t="n">
        <v>0</v>
      </c>
    </row>
    <row r="162" customFormat="false" ht="15" hidden="false" customHeight="false" outlineLevel="0" collapsed="false">
      <c r="A162" s="0" t="n">
        <v>1111</v>
      </c>
      <c r="B162" s="0" t="s">
        <v>36</v>
      </c>
      <c r="C162" s="0" t="s">
        <v>44</v>
      </c>
      <c r="D162" s="0" t="s">
        <v>49</v>
      </c>
      <c r="E162" s="0" t="s">
        <v>50</v>
      </c>
      <c r="H162" s="0" t="n">
        <v>3</v>
      </c>
      <c r="I162" s="0" t="n">
        <v>3</v>
      </c>
      <c r="J162" s="0" t="n">
        <v>0</v>
      </c>
      <c r="K162" s="0" t="n">
        <v>66.61</v>
      </c>
      <c r="L162" s="0" t="n">
        <v>66.61</v>
      </c>
      <c r="M162" s="0" t="n">
        <v>0</v>
      </c>
      <c r="N162" s="0" t="n">
        <v>11542</v>
      </c>
      <c r="Q162" s="0" t="s">
        <v>34</v>
      </c>
      <c r="R162" s="0" t="n">
        <v>4040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Z162" s="0" t="s">
        <v>34</v>
      </c>
      <c r="AA162" s="0" t="s">
        <v>37</v>
      </c>
      <c r="AB162" s="0" t="n">
        <v>0</v>
      </c>
      <c r="AC162" s="0" t="n">
        <v>0</v>
      </c>
    </row>
    <row r="163" customFormat="false" ht="15" hidden="false" customHeight="false" outlineLevel="0" collapsed="false">
      <c r="A163" s="0" t="n">
        <v>1112</v>
      </c>
      <c r="B163" s="0" t="s">
        <v>42</v>
      </c>
      <c r="C163" s="0" t="s">
        <v>38</v>
      </c>
      <c r="D163" s="0" t="s">
        <v>31</v>
      </c>
      <c r="E163" s="0" t="s">
        <v>32</v>
      </c>
      <c r="H163" s="0" t="n">
        <v>4</v>
      </c>
      <c r="I163" s="0" t="n">
        <v>4</v>
      </c>
      <c r="J163" s="0" t="n">
        <v>0</v>
      </c>
      <c r="K163" s="0" t="n">
        <v>49.02</v>
      </c>
      <c r="L163" s="0" t="n">
        <v>49.02</v>
      </c>
      <c r="M163" s="0" t="n">
        <v>0</v>
      </c>
      <c r="N163" s="0" t="n">
        <v>17558</v>
      </c>
      <c r="Q163" s="0" t="s">
        <v>33</v>
      </c>
      <c r="R163" s="0" t="n">
        <v>4040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Z163" s="0" t="s">
        <v>34</v>
      </c>
      <c r="AA163" s="0" t="s">
        <v>37</v>
      </c>
      <c r="AB163" s="0" t="n">
        <v>0</v>
      </c>
      <c r="AC163" s="0" t="n">
        <v>0</v>
      </c>
    </row>
    <row r="164" customFormat="false" ht="15" hidden="false" customHeight="false" outlineLevel="0" collapsed="false">
      <c r="A164" s="0" t="n">
        <v>1113</v>
      </c>
      <c r="B164" s="0" t="s">
        <v>29</v>
      </c>
      <c r="C164" s="0" t="s">
        <v>45</v>
      </c>
      <c r="D164" s="0" t="s">
        <v>31</v>
      </c>
      <c r="E164" s="0" t="s">
        <v>32</v>
      </c>
      <c r="H164" s="0" t="n">
        <v>3</v>
      </c>
      <c r="I164" s="0" t="n">
        <v>3</v>
      </c>
      <c r="J164" s="0" t="n">
        <v>0</v>
      </c>
      <c r="K164" s="0" t="n">
        <v>30.85</v>
      </c>
      <c r="L164" s="0" t="n">
        <v>29.65</v>
      </c>
      <c r="M164" s="0" t="n">
        <v>-1.2</v>
      </c>
      <c r="N164" s="0" t="n">
        <v>27578</v>
      </c>
      <c r="Q164" s="0" t="s">
        <v>33</v>
      </c>
      <c r="R164" s="0" t="n">
        <v>4040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Z164" s="0" t="s">
        <v>34</v>
      </c>
      <c r="AA164" s="0" t="s">
        <v>35</v>
      </c>
      <c r="AB164" s="0" t="n">
        <v>1</v>
      </c>
      <c r="AC164" s="0" t="n">
        <v>0</v>
      </c>
    </row>
    <row r="165" customFormat="false" ht="15" hidden="false" customHeight="false" outlineLevel="0" collapsed="false">
      <c r="A165" s="0" t="n">
        <v>1114</v>
      </c>
      <c r="B165" s="0" t="s">
        <v>29</v>
      </c>
      <c r="C165" s="0" t="s">
        <v>41</v>
      </c>
      <c r="D165" s="0" t="s">
        <v>31</v>
      </c>
      <c r="E165" s="0" t="s">
        <v>32</v>
      </c>
      <c r="H165" s="0" t="n">
        <v>6</v>
      </c>
      <c r="I165" s="0" t="n">
        <v>6</v>
      </c>
      <c r="J165" s="0" t="n">
        <v>0</v>
      </c>
      <c r="K165" s="0" t="n">
        <v>34.07</v>
      </c>
      <c r="L165" s="0" t="n">
        <v>34.07</v>
      </c>
      <c r="M165" s="0" t="n">
        <v>0</v>
      </c>
      <c r="N165" s="0" t="n">
        <v>30605</v>
      </c>
      <c r="Q165" s="0" t="s">
        <v>33</v>
      </c>
      <c r="R165" s="0" t="n">
        <v>4040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Z165" s="0" t="s">
        <v>34</v>
      </c>
      <c r="AA165" s="0" t="s">
        <v>37</v>
      </c>
      <c r="AB165" s="0" t="n">
        <v>0</v>
      </c>
      <c r="AC165" s="0" t="n">
        <v>0</v>
      </c>
    </row>
    <row r="166" customFormat="false" ht="15" hidden="false" customHeight="false" outlineLevel="0" collapsed="false">
      <c r="A166" s="0" t="n">
        <v>1122</v>
      </c>
      <c r="B166" s="0" t="s">
        <v>29</v>
      </c>
      <c r="C166" s="0" t="s">
        <v>45</v>
      </c>
      <c r="D166" s="0" t="s">
        <v>31</v>
      </c>
      <c r="E166" s="0" t="s">
        <v>32</v>
      </c>
      <c r="H166" s="0" t="n">
        <v>4</v>
      </c>
      <c r="I166" s="0" t="n">
        <v>4</v>
      </c>
      <c r="J166" s="0" t="n">
        <v>0</v>
      </c>
      <c r="K166" s="0" t="n">
        <v>41.7</v>
      </c>
      <c r="L166" s="0" t="n">
        <v>45.69</v>
      </c>
      <c r="M166" s="0" t="n">
        <v>3.99</v>
      </c>
      <c r="N166" s="0" t="n">
        <v>24572</v>
      </c>
      <c r="Q166" s="0" t="s">
        <v>33</v>
      </c>
      <c r="R166" s="0" t="n">
        <v>4040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Z166" s="0" t="s">
        <v>33</v>
      </c>
      <c r="AA166" s="0" t="s">
        <v>40</v>
      </c>
      <c r="AB166" s="0" t="n">
        <v>0</v>
      </c>
      <c r="AC166" s="0" t="n">
        <v>0</v>
      </c>
    </row>
    <row r="167" customFormat="false" ht="15" hidden="false" customHeight="false" outlineLevel="0" collapsed="false">
      <c r="A167" s="0" t="n">
        <v>1139</v>
      </c>
      <c r="B167" s="0" t="s">
        <v>29</v>
      </c>
      <c r="C167" s="0" t="s">
        <v>48</v>
      </c>
      <c r="D167" s="0" t="s">
        <v>31</v>
      </c>
      <c r="E167" s="0" t="s">
        <v>32</v>
      </c>
      <c r="H167" s="0" t="n">
        <v>3</v>
      </c>
      <c r="I167" s="0" t="n">
        <v>1</v>
      </c>
      <c r="J167" s="0" t="n">
        <v>-2</v>
      </c>
      <c r="K167" s="0" t="n">
        <v>65.07</v>
      </c>
      <c r="L167" s="0" t="n">
        <v>79.24</v>
      </c>
      <c r="M167" s="0" t="n">
        <v>14.17</v>
      </c>
      <c r="N167" s="0" t="n">
        <v>7530</v>
      </c>
      <c r="Q167" s="0" t="s">
        <v>33</v>
      </c>
      <c r="R167" s="0" t="n">
        <v>4040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Z167" s="0" t="s">
        <v>33</v>
      </c>
      <c r="AA167" s="0" t="s">
        <v>40</v>
      </c>
      <c r="AB167" s="0" t="n">
        <v>0</v>
      </c>
      <c r="AC167" s="0" t="n">
        <v>0</v>
      </c>
    </row>
    <row r="168" customFormat="false" ht="15" hidden="false" customHeight="false" outlineLevel="0" collapsed="false">
      <c r="A168" s="0" t="n">
        <v>1144</v>
      </c>
      <c r="B168" s="0" t="s">
        <v>29</v>
      </c>
      <c r="C168" s="0" t="s">
        <v>46</v>
      </c>
      <c r="D168" s="0" t="s">
        <v>31</v>
      </c>
      <c r="E168" s="0" t="s">
        <v>32</v>
      </c>
      <c r="H168" s="0" t="n">
        <v>6</v>
      </c>
      <c r="I168" s="0" t="n">
        <v>2</v>
      </c>
      <c r="J168" s="0" t="n">
        <v>-4</v>
      </c>
      <c r="K168" s="0" t="n">
        <v>43.38</v>
      </c>
      <c r="L168" s="0" t="n">
        <v>33.1</v>
      </c>
      <c r="M168" s="0" t="n">
        <v>-10.28</v>
      </c>
      <c r="N168" s="0" t="n">
        <v>33099</v>
      </c>
      <c r="Q168" s="0" t="s">
        <v>33</v>
      </c>
      <c r="R168" s="0" t="n">
        <v>4040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Z168" s="0" t="s">
        <v>34</v>
      </c>
      <c r="AA168" s="0" t="s">
        <v>37</v>
      </c>
      <c r="AB168" s="0" t="n">
        <v>0</v>
      </c>
      <c r="AC168" s="0" t="n">
        <v>0</v>
      </c>
    </row>
    <row r="169" customFormat="false" ht="15" hidden="false" customHeight="false" outlineLevel="0" collapsed="false">
      <c r="A169" s="0" t="n">
        <v>1150</v>
      </c>
      <c r="B169" s="0" t="s">
        <v>36</v>
      </c>
      <c r="C169" s="0" t="s">
        <v>38</v>
      </c>
      <c r="D169" s="0" t="s">
        <v>31</v>
      </c>
      <c r="E169" s="0" t="s">
        <v>32</v>
      </c>
      <c r="H169" s="0" t="n">
        <v>6</v>
      </c>
      <c r="I169" s="0" t="n">
        <v>6</v>
      </c>
      <c r="J169" s="0" t="n">
        <v>0</v>
      </c>
      <c r="K169" s="0" t="n">
        <v>41.25</v>
      </c>
      <c r="L169" s="0" t="n">
        <v>41.25</v>
      </c>
      <c r="M169" s="0" t="n">
        <v>0</v>
      </c>
      <c r="N169" s="0" t="n">
        <v>28073</v>
      </c>
      <c r="Q169" s="0" t="s">
        <v>33</v>
      </c>
      <c r="R169" s="0" t="n">
        <v>4040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Z169" s="0" t="s">
        <v>33</v>
      </c>
      <c r="AA169" s="0" t="s">
        <v>40</v>
      </c>
      <c r="AB169" s="0" t="n">
        <v>0</v>
      </c>
      <c r="AC169" s="0" t="n">
        <v>0</v>
      </c>
    </row>
    <row r="170" customFormat="false" ht="15" hidden="false" customHeight="false" outlineLevel="0" collapsed="false">
      <c r="A170" s="0" t="n">
        <v>1153</v>
      </c>
      <c r="B170" s="0" t="s">
        <v>36</v>
      </c>
      <c r="C170" s="0" t="s">
        <v>45</v>
      </c>
      <c r="D170" s="0" t="s">
        <v>31</v>
      </c>
      <c r="E170" s="0" t="s">
        <v>32</v>
      </c>
      <c r="H170" s="0" t="n">
        <v>2</v>
      </c>
      <c r="I170" s="0" t="n">
        <v>4</v>
      </c>
      <c r="J170" s="0" t="n">
        <v>2</v>
      </c>
      <c r="K170" s="0" t="n">
        <v>68.39</v>
      </c>
      <c r="L170" s="0" t="n">
        <v>0</v>
      </c>
      <c r="M170" s="0" t="n">
        <v>-68.39</v>
      </c>
      <c r="N170" s="0" t="n">
        <v>10541</v>
      </c>
      <c r="Q170" s="0" t="s">
        <v>33</v>
      </c>
      <c r="R170" s="0" t="n">
        <v>4040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Z170" s="0" t="s">
        <v>33</v>
      </c>
      <c r="AA170" s="0" t="s">
        <v>40</v>
      </c>
      <c r="AB170" s="0" t="n">
        <v>0</v>
      </c>
      <c r="AC170" s="0" t="n">
        <v>0</v>
      </c>
    </row>
    <row r="171" customFormat="false" ht="15" hidden="false" customHeight="false" outlineLevel="0" collapsed="false">
      <c r="A171" s="0" t="n">
        <v>1156</v>
      </c>
      <c r="B171" s="0" t="s">
        <v>29</v>
      </c>
      <c r="C171" s="0" t="s">
        <v>30</v>
      </c>
      <c r="D171" s="0" t="s">
        <v>31</v>
      </c>
      <c r="E171" s="0" t="s">
        <v>32</v>
      </c>
      <c r="H171" s="0" t="n">
        <v>9</v>
      </c>
      <c r="I171" s="0" t="n">
        <v>9</v>
      </c>
      <c r="J171" s="0" t="n">
        <v>0</v>
      </c>
      <c r="K171" s="0" t="n">
        <v>34.59</v>
      </c>
      <c r="L171" s="0" t="n">
        <v>32.88</v>
      </c>
      <c r="M171" s="0" t="n">
        <v>-1.71</v>
      </c>
      <c r="N171" s="0" t="n">
        <v>28577</v>
      </c>
      <c r="Q171" s="0" t="s">
        <v>33</v>
      </c>
      <c r="R171" s="0" t="n">
        <v>4040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Z171" s="0" t="s">
        <v>34</v>
      </c>
      <c r="AA171" s="0" t="s">
        <v>37</v>
      </c>
      <c r="AB171" s="0" t="n">
        <v>0</v>
      </c>
      <c r="AC171" s="0" t="n">
        <v>0</v>
      </c>
    </row>
    <row r="172" customFormat="false" ht="15" hidden="false" customHeight="false" outlineLevel="0" collapsed="false">
      <c r="A172" s="0" t="n">
        <v>1161</v>
      </c>
      <c r="B172" s="0" t="s">
        <v>36</v>
      </c>
      <c r="C172" s="0" t="s">
        <v>52</v>
      </c>
      <c r="D172" s="0" t="s">
        <v>31</v>
      </c>
      <c r="E172" s="0" t="s">
        <v>32</v>
      </c>
      <c r="H172" s="0" t="n">
        <v>3</v>
      </c>
      <c r="I172" s="0" t="n">
        <v>3</v>
      </c>
      <c r="J172" s="0" t="n">
        <v>0</v>
      </c>
      <c r="K172" s="0" t="n">
        <v>50.23</v>
      </c>
      <c r="L172" s="0" t="n">
        <v>50.26</v>
      </c>
      <c r="M172" s="0" t="n">
        <v>0.03</v>
      </c>
      <c r="N172" s="0" t="n">
        <v>17558</v>
      </c>
      <c r="Q172" s="0" t="s">
        <v>33</v>
      </c>
      <c r="R172" s="0" t="n">
        <v>4040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Z172" s="0" t="s">
        <v>34</v>
      </c>
      <c r="AA172" s="0" t="s">
        <v>35</v>
      </c>
      <c r="AB172" s="0" t="n">
        <v>1</v>
      </c>
      <c r="AC172" s="0" t="n">
        <v>0</v>
      </c>
    </row>
    <row r="173" customFormat="false" ht="15" hidden="false" customHeight="false" outlineLevel="0" collapsed="false">
      <c r="A173" s="0" t="n">
        <v>1180</v>
      </c>
      <c r="B173" s="0" t="s">
        <v>29</v>
      </c>
      <c r="C173" s="0" t="s">
        <v>39</v>
      </c>
      <c r="D173" s="0" t="s">
        <v>31</v>
      </c>
      <c r="E173" s="0" t="s">
        <v>32</v>
      </c>
      <c r="H173" s="0" t="n">
        <v>3</v>
      </c>
      <c r="I173" s="0" t="n">
        <v>3</v>
      </c>
      <c r="J173" s="0" t="n">
        <v>0</v>
      </c>
      <c r="K173" s="0" t="n">
        <v>57.47</v>
      </c>
      <c r="L173" s="0" t="n">
        <v>53.06</v>
      </c>
      <c r="M173" s="0" t="n">
        <v>-4.41</v>
      </c>
      <c r="N173" s="0" t="n">
        <v>20558</v>
      </c>
      <c r="Q173" s="0" t="s">
        <v>33</v>
      </c>
      <c r="R173" s="0" t="n">
        <v>4040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Z173" s="0" t="s">
        <v>34</v>
      </c>
      <c r="AA173" s="0" t="s">
        <v>37</v>
      </c>
      <c r="AB173" s="0" t="n">
        <v>0</v>
      </c>
      <c r="AC173" s="0" t="n">
        <v>0</v>
      </c>
    </row>
    <row r="174" customFormat="false" ht="15" hidden="false" customHeight="false" outlineLevel="0" collapsed="false">
      <c r="A174" s="0" t="n">
        <v>1197</v>
      </c>
      <c r="B174" s="0" t="s">
        <v>36</v>
      </c>
      <c r="C174" s="0" t="s">
        <v>52</v>
      </c>
      <c r="D174" s="0" t="s">
        <v>49</v>
      </c>
      <c r="E174" s="0" t="s">
        <v>50</v>
      </c>
      <c r="H174" s="0" t="n">
        <v>9</v>
      </c>
      <c r="I174" s="0" t="n">
        <v>9</v>
      </c>
      <c r="J174" s="0" t="n">
        <v>0</v>
      </c>
      <c r="K174" s="0" t="n">
        <v>24.45</v>
      </c>
      <c r="L174" s="0" t="n">
        <v>24.45</v>
      </c>
      <c r="M174" s="0" t="n">
        <v>0</v>
      </c>
      <c r="N174" s="0" t="n">
        <v>46132</v>
      </c>
      <c r="Q174" s="0" t="s">
        <v>34</v>
      </c>
      <c r="R174" s="0" t="n">
        <v>4054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Z174" s="0" t="s">
        <v>34</v>
      </c>
      <c r="AA174" s="0" t="s">
        <v>37</v>
      </c>
      <c r="AB174" s="0" t="n">
        <v>0</v>
      </c>
      <c r="AC174" s="0" t="n">
        <v>0</v>
      </c>
    </row>
    <row r="175" customFormat="false" ht="15" hidden="false" customHeight="false" outlineLevel="0" collapsed="false">
      <c r="A175" s="0" t="n">
        <v>1227</v>
      </c>
      <c r="B175" s="0" t="s">
        <v>29</v>
      </c>
      <c r="C175" s="0" t="s">
        <v>41</v>
      </c>
      <c r="D175" s="0" t="s">
        <v>31</v>
      </c>
      <c r="E175" s="0" t="s">
        <v>32</v>
      </c>
      <c r="H175" s="0" t="n">
        <v>4</v>
      </c>
      <c r="I175" s="0" t="n">
        <v>4</v>
      </c>
      <c r="J175" s="0" t="n">
        <v>0</v>
      </c>
      <c r="K175" s="0" t="n">
        <v>52.1</v>
      </c>
      <c r="L175" s="0" t="n">
        <v>58.58</v>
      </c>
      <c r="M175" s="0" t="n">
        <v>6.48</v>
      </c>
      <c r="N175" s="0" t="n">
        <v>15048</v>
      </c>
      <c r="Q175" s="0" t="s">
        <v>33</v>
      </c>
      <c r="R175" s="0" t="n">
        <v>4054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Z175" s="0" t="s">
        <v>34</v>
      </c>
      <c r="AA175" s="0" t="s">
        <v>37</v>
      </c>
      <c r="AB175" s="0" t="n">
        <v>0</v>
      </c>
      <c r="AC175" s="0" t="n">
        <v>0</v>
      </c>
    </row>
    <row r="176" customFormat="false" ht="15" hidden="false" customHeight="false" outlineLevel="0" collapsed="false">
      <c r="A176" s="0" t="n">
        <v>1263</v>
      </c>
      <c r="B176" s="0" t="s">
        <v>42</v>
      </c>
      <c r="C176" s="0" t="s">
        <v>43</v>
      </c>
      <c r="D176" s="0" t="s">
        <v>31</v>
      </c>
      <c r="E176" s="0" t="s">
        <v>32</v>
      </c>
      <c r="H176" s="0" t="n">
        <v>11</v>
      </c>
      <c r="I176" s="0" t="n">
        <v>11</v>
      </c>
      <c r="J176" s="0" t="n">
        <v>0</v>
      </c>
      <c r="K176" s="0" t="n">
        <v>23.5</v>
      </c>
      <c r="L176" s="0" t="n">
        <v>22.84</v>
      </c>
      <c r="M176" s="0" t="n">
        <v>-0.66</v>
      </c>
      <c r="N176" s="0" t="n">
        <v>41602</v>
      </c>
      <c r="Q176" s="0" t="s">
        <v>33</v>
      </c>
      <c r="R176" s="0" t="n">
        <v>4054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Z176" s="0" t="s">
        <v>34</v>
      </c>
      <c r="AA176" s="0" t="s">
        <v>37</v>
      </c>
      <c r="AB176" s="0" t="n">
        <v>0</v>
      </c>
      <c r="AC176" s="0" t="n">
        <v>0</v>
      </c>
    </row>
    <row r="177" customFormat="false" ht="15" hidden="false" customHeight="false" outlineLevel="0" collapsed="false">
      <c r="A177" s="0" t="n">
        <v>1265</v>
      </c>
      <c r="B177" s="0" t="s">
        <v>29</v>
      </c>
      <c r="C177" s="0" t="s">
        <v>45</v>
      </c>
      <c r="D177" s="0" t="s">
        <v>31</v>
      </c>
      <c r="E177" s="0" t="s">
        <v>32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39.45</v>
      </c>
      <c r="M177" s="0" t="n">
        <v>39.45</v>
      </c>
      <c r="N177" s="0" t="n">
        <v>25078</v>
      </c>
      <c r="Q177" s="0" t="s">
        <v>33</v>
      </c>
      <c r="R177" s="0" t="n">
        <v>4054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Z177" s="0" t="s">
        <v>33</v>
      </c>
      <c r="AA177" s="0" t="s">
        <v>40</v>
      </c>
      <c r="AB177" s="0" t="n">
        <v>0</v>
      </c>
      <c r="AC177" s="0" t="n">
        <v>0</v>
      </c>
    </row>
    <row r="178" customFormat="false" ht="15" hidden="false" customHeight="false" outlineLevel="0" collapsed="false">
      <c r="A178" s="0" t="n">
        <v>1267</v>
      </c>
      <c r="B178" s="0" t="s">
        <v>42</v>
      </c>
      <c r="C178" s="0" t="s">
        <v>51</v>
      </c>
      <c r="D178" s="0" t="s">
        <v>31</v>
      </c>
      <c r="E178" s="0" t="s">
        <v>32</v>
      </c>
      <c r="H178" s="0" t="n">
        <v>5</v>
      </c>
      <c r="I178" s="0" t="n">
        <v>4</v>
      </c>
      <c r="J178" s="0" t="n">
        <v>-1</v>
      </c>
      <c r="K178" s="0" t="n">
        <v>63.16</v>
      </c>
      <c r="L178" s="0" t="n">
        <v>69.88</v>
      </c>
      <c r="M178" s="0" t="n">
        <v>6.72</v>
      </c>
      <c r="N178" s="0" t="n">
        <v>12545</v>
      </c>
      <c r="Q178" s="0" t="s">
        <v>33</v>
      </c>
      <c r="R178" s="0" t="n">
        <v>4054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Z178" s="0" t="s">
        <v>34</v>
      </c>
      <c r="AA178" s="0" t="s">
        <v>37</v>
      </c>
      <c r="AB178" s="0" t="n">
        <v>0</v>
      </c>
      <c r="AC178" s="0" t="n">
        <v>0</v>
      </c>
    </row>
    <row r="179" customFormat="false" ht="15" hidden="false" customHeight="false" outlineLevel="0" collapsed="false">
      <c r="A179" s="0" t="n">
        <v>1269</v>
      </c>
      <c r="B179" s="0" t="s">
        <v>36</v>
      </c>
      <c r="C179" s="0" t="s">
        <v>46</v>
      </c>
      <c r="D179" s="0" t="s">
        <v>31</v>
      </c>
      <c r="E179" s="0" t="s">
        <v>32</v>
      </c>
      <c r="H179" s="0" t="n">
        <v>3</v>
      </c>
      <c r="I179" s="0" t="n">
        <v>2</v>
      </c>
      <c r="J179" s="0" t="n">
        <v>-1</v>
      </c>
      <c r="K179" s="0" t="n">
        <v>63.59</v>
      </c>
      <c r="L179" s="0" t="n">
        <v>58.1</v>
      </c>
      <c r="M179" s="0" t="n">
        <v>-5.49</v>
      </c>
      <c r="N179" s="0" t="n">
        <v>13544</v>
      </c>
      <c r="Q179" s="0" t="s">
        <v>33</v>
      </c>
      <c r="R179" s="0" t="n">
        <v>4054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Z179" s="0" t="s">
        <v>33</v>
      </c>
      <c r="AA179" s="0" t="s">
        <v>40</v>
      </c>
      <c r="AB179" s="0" t="n">
        <v>0</v>
      </c>
      <c r="AC179" s="0" t="n">
        <v>0</v>
      </c>
    </row>
    <row r="180" customFormat="false" ht="15" hidden="false" customHeight="false" outlineLevel="0" collapsed="false">
      <c r="A180" s="0" t="n">
        <v>1283</v>
      </c>
      <c r="B180" s="0" t="s">
        <v>36</v>
      </c>
      <c r="C180" s="0" t="s">
        <v>47</v>
      </c>
      <c r="D180" s="0" t="s">
        <v>31</v>
      </c>
      <c r="E180" s="0" t="s">
        <v>32</v>
      </c>
      <c r="H180" s="0" t="n">
        <v>6</v>
      </c>
      <c r="I180" s="0" t="n">
        <v>6</v>
      </c>
      <c r="J180" s="0" t="n">
        <v>0</v>
      </c>
      <c r="K180" s="0" t="n">
        <v>48.86</v>
      </c>
      <c r="L180" s="0" t="n">
        <v>50.39</v>
      </c>
      <c r="M180" s="0" t="n">
        <v>1.53</v>
      </c>
      <c r="N180" s="0" t="n">
        <v>19557</v>
      </c>
      <c r="Q180" s="0" t="s">
        <v>33</v>
      </c>
      <c r="R180" s="0" t="n">
        <v>4054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Z180" s="0" t="s">
        <v>34</v>
      </c>
      <c r="AA180" s="0" t="s">
        <v>37</v>
      </c>
      <c r="AB180" s="0" t="n">
        <v>0</v>
      </c>
      <c r="AC180" s="0" t="n">
        <v>0</v>
      </c>
    </row>
    <row r="181" customFormat="false" ht="15" hidden="false" customHeight="false" outlineLevel="0" collapsed="false">
      <c r="A181" s="0" t="n">
        <v>1290</v>
      </c>
      <c r="B181" s="0" t="s">
        <v>29</v>
      </c>
      <c r="C181" s="0" t="s">
        <v>45</v>
      </c>
      <c r="D181" s="0" t="s">
        <v>31</v>
      </c>
      <c r="E181" s="0" t="s">
        <v>32</v>
      </c>
      <c r="H181" s="0" t="n">
        <v>5</v>
      </c>
      <c r="I181" s="0" t="n">
        <v>6</v>
      </c>
      <c r="J181" s="0" t="n">
        <v>1</v>
      </c>
      <c r="K181" s="0" t="n">
        <v>44.27</v>
      </c>
      <c r="L181" s="0" t="n">
        <v>42.2</v>
      </c>
      <c r="M181" s="0" t="n">
        <v>-2.07</v>
      </c>
      <c r="N181" s="0" t="n">
        <v>26081</v>
      </c>
      <c r="Q181" s="0" t="s">
        <v>33</v>
      </c>
      <c r="R181" s="0" t="n">
        <v>4054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Z181" s="0" t="s">
        <v>33</v>
      </c>
      <c r="AA181" s="0" t="s">
        <v>40</v>
      </c>
      <c r="AB181" s="0" t="n">
        <v>0</v>
      </c>
      <c r="AC181" s="0" t="n">
        <v>0</v>
      </c>
    </row>
    <row r="182" customFormat="false" ht="15" hidden="false" customHeight="false" outlineLevel="0" collapsed="false">
      <c r="A182" s="0" t="n">
        <v>1292</v>
      </c>
      <c r="B182" s="0" t="s">
        <v>42</v>
      </c>
      <c r="C182" s="0" t="s">
        <v>30</v>
      </c>
      <c r="D182" s="0" t="s">
        <v>31</v>
      </c>
      <c r="E182" s="0" t="s">
        <v>32</v>
      </c>
      <c r="H182" s="0" t="n">
        <v>7</v>
      </c>
      <c r="I182" s="0" t="n">
        <v>7</v>
      </c>
      <c r="J182" s="0" t="n">
        <v>0</v>
      </c>
      <c r="K182" s="0" t="n">
        <v>46.69</v>
      </c>
      <c r="L182" s="0" t="n">
        <v>45.95</v>
      </c>
      <c r="M182" s="0" t="n">
        <v>-0.74</v>
      </c>
      <c r="N182" s="0" t="n">
        <v>19558</v>
      </c>
      <c r="Q182" s="0" t="s">
        <v>33</v>
      </c>
      <c r="R182" s="0" t="n">
        <v>4054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Z182" s="0" t="s">
        <v>33</v>
      </c>
      <c r="AA182" s="0" t="s">
        <v>40</v>
      </c>
      <c r="AB182" s="0" t="n">
        <v>0</v>
      </c>
      <c r="AC182" s="0" t="n">
        <v>0</v>
      </c>
    </row>
    <row r="183" customFormat="false" ht="15" hidden="false" customHeight="false" outlineLevel="0" collapsed="false">
      <c r="A183" s="0" t="n">
        <v>1311</v>
      </c>
      <c r="B183" s="0" t="s">
        <v>29</v>
      </c>
      <c r="C183" s="0" t="s">
        <v>46</v>
      </c>
      <c r="D183" s="0" t="s">
        <v>31</v>
      </c>
      <c r="E183" s="0" t="s">
        <v>32</v>
      </c>
      <c r="H183" s="0" t="n">
        <v>9</v>
      </c>
      <c r="I183" s="0" t="n">
        <v>9</v>
      </c>
      <c r="J183" s="0" t="n">
        <v>0</v>
      </c>
      <c r="K183" s="0" t="n">
        <v>43.02</v>
      </c>
      <c r="L183" s="0" t="n">
        <v>36.05</v>
      </c>
      <c r="M183" s="0" t="n">
        <v>-6.97</v>
      </c>
      <c r="N183" s="0" t="n">
        <v>33104</v>
      </c>
      <c r="Q183" s="0" t="s">
        <v>33</v>
      </c>
      <c r="R183" s="0" t="n">
        <v>4054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Z183" s="0" t="s">
        <v>34</v>
      </c>
      <c r="AA183" s="0" t="s">
        <v>37</v>
      </c>
      <c r="AB183" s="0" t="n">
        <v>0</v>
      </c>
      <c r="AC183" s="0" t="n">
        <v>0</v>
      </c>
    </row>
    <row r="184" customFormat="false" ht="15" hidden="false" customHeight="false" outlineLevel="0" collapsed="false">
      <c r="A184" s="0" t="n">
        <v>1331</v>
      </c>
      <c r="B184" s="0" t="s">
        <v>29</v>
      </c>
      <c r="C184" s="0" t="s">
        <v>41</v>
      </c>
      <c r="D184" s="0" t="s">
        <v>31</v>
      </c>
      <c r="E184" s="0" t="s">
        <v>32</v>
      </c>
      <c r="H184" s="0" t="n">
        <v>8</v>
      </c>
      <c r="I184" s="0" t="n">
        <v>9</v>
      </c>
      <c r="J184" s="0" t="n">
        <v>1</v>
      </c>
      <c r="K184" s="0" t="n">
        <v>44.84</v>
      </c>
      <c r="L184" s="0" t="n">
        <v>42.15</v>
      </c>
      <c r="M184" s="0" t="n">
        <v>-2.69</v>
      </c>
      <c r="N184" s="0" t="n">
        <v>25596</v>
      </c>
      <c r="Q184" s="0" t="s">
        <v>33</v>
      </c>
      <c r="R184" s="0" t="n">
        <v>4054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Z184" s="0" t="s">
        <v>34</v>
      </c>
      <c r="AA184" s="0" t="s">
        <v>37</v>
      </c>
      <c r="AB184" s="0" t="n">
        <v>0</v>
      </c>
      <c r="AC184" s="0" t="n">
        <v>0</v>
      </c>
    </row>
    <row r="185" customFormat="false" ht="15" hidden="false" customHeight="false" outlineLevel="0" collapsed="false">
      <c r="A185" s="0" t="n">
        <v>1343</v>
      </c>
      <c r="B185" s="0" t="s">
        <v>42</v>
      </c>
      <c r="C185" s="0" t="s">
        <v>45</v>
      </c>
      <c r="D185" s="0" t="s">
        <v>31</v>
      </c>
      <c r="E185" s="0" t="s">
        <v>32</v>
      </c>
      <c r="H185" s="0" t="n">
        <v>6</v>
      </c>
      <c r="I185" s="0" t="n">
        <v>6</v>
      </c>
      <c r="J185" s="0" t="n">
        <v>0</v>
      </c>
      <c r="K185" s="0" t="n">
        <v>35.78</v>
      </c>
      <c r="L185" s="0" t="n">
        <v>41.06</v>
      </c>
      <c r="M185" s="0" t="n">
        <v>5.28</v>
      </c>
      <c r="N185" s="0" t="n">
        <v>24073</v>
      </c>
      <c r="Q185" s="0" t="s">
        <v>33</v>
      </c>
      <c r="R185" s="0" t="n">
        <v>4054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Z185" s="0" t="s">
        <v>33</v>
      </c>
      <c r="AA185" s="0" t="s">
        <v>40</v>
      </c>
      <c r="AB185" s="0" t="n">
        <v>0</v>
      </c>
      <c r="AC185" s="0" t="n">
        <v>0</v>
      </c>
    </row>
    <row r="186" customFormat="false" ht="15" hidden="false" customHeight="false" outlineLevel="0" collapsed="false">
      <c r="A186" s="0" t="n">
        <v>1348</v>
      </c>
      <c r="B186" s="0" t="s">
        <v>29</v>
      </c>
      <c r="C186" s="0" t="s">
        <v>41</v>
      </c>
      <c r="D186" s="0" t="s">
        <v>31</v>
      </c>
      <c r="E186" s="0" t="s">
        <v>32</v>
      </c>
      <c r="H186" s="0" t="n">
        <v>5</v>
      </c>
      <c r="I186" s="0" t="n">
        <v>6</v>
      </c>
      <c r="J186" s="0" t="n">
        <v>1</v>
      </c>
      <c r="K186" s="0" t="n">
        <v>57.3</v>
      </c>
      <c r="L186" s="0" t="n">
        <v>53.46</v>
      </c>
      <c r="M186" s="0" t="n">
        <v>-3.84</v>
      </c>
      <c r="N186" s="0" t="n">
        <v>18556</v>
      </c>
      <c r="Q186" s="0" t="s">
        <v>33</v>
      </c>
      <c r="R186" s="0" t="n">
        <v>4054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Z186" s="0" t="s">
        <v>34</v>
      </c>
      <c r="AA186" s="0" t="s">
        <v>37</v>
      </c>
      <c r="AB186" s="0" t="n">
        <v>0</v>
      </c>
      <c r="AC186" s="0" t="n">
        <v>0</v>
      </c>
    </row>
    <row r="187" customFormat="false" ht="15" hidden="false" customHeight="false" outlineLevel="0" collapsed="false">
      <c r="A187" s="0" t="n">
        <v>1357</v>
      </c>
      <c r="B187" s="0" t="s">
        <v>42</v>
      </c>
      <c r="C187" s="0" t="s">
        <v>39</v>
      </c>
      <c r="D187" s="0" t="s">
        <v>31</v>
      </c>
      <c r="E187" s="0" t="s">
        <v>32</v>
      </c>
      <c r="H187" s="0" t="n">
        <v>3</v>
      </c>
      <c r="I187" s="0" t="n">
        <v>3</v>
      </c>
      <c r="J187" s="0" t="n">
        <v>0</v>
      </c>
      <c r="K187" s="0" t="n">
        <v>75.88</v>
      </c>
      <c r="L187" s="0" t="n">
        <v>68.77</v>
      </c>
      <c r="M187" s="0" t="n">
        <v>-7.11</v>
      </c>
      <c r="N187" s="0" t="n">
        <v>11038</v>
      </c>
      <c r="Q187" s="0" t="s">
        <v>33</v>
      </c>
      <c r="R187" s="0" t="n">
        <v>4054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Z187" s="0" t="s">
        <v>34</v>
      </c>
      <c r="AA187" s="0" t="s">
        <v>37</v>
      </c>
      <c r="AB187" s="0" t="n">
        <v>0</v>
      </c>
      <c r="AC187" s="0" t="n">
        <v>0</v>
      </c>
    </row>
    <row r="188" customFormat="false" ht="15" hidden="false" customHeight="false" outlineLevel="0" collapsed="false">
      <c r="A188" s="0" t="n">
        <v>1367</v>
      </c>
      <c r="B188" s="0" t="s">
        <v>29</v>
      </c>
      <c r="C188" s="0" t="s">
        <v>41</v>
      </c>
      <c r="D188" s="0" t="s">
        <v>31</v>
      </c>
      <c r="E188" s="0" t="s">
        <v>32</v>
      </c>
      <c r="H188" s="0" t="n">
        <v>6</v>
      </c>
      <c r="I188" s="0" t="n">
        <v>7</v>
      </c>
      <c r="J188" s="0" t="n">
        <v>1</v>
      </c>
      <c r="K188" s="0" t="n">
        <v>46.4</v>
      </c>
      <c r="L188" s="0" t="n">
        <v>44.69</v>
      </c>
      <c r="M188" s="0" t="n">
        <v>-1.71</v>
      </c>
      <c r="N188" s="0" t="n">
        <v>22067</v>
      </c>
      <c r="Q188" s="0" t="s">
        <v>33</v>
      </c>
      <c r="R188" s="0" t="n">
        <v>4054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Z188" s="0" t="s">
        <v>34</v>
      </c>
      <c r="AA188" s="0" t="s">
        <v>37</v>
      </c>
      <c r="AB188" s="0" t="n">
        <v>0</v>
      </c>
      <c r="AC188" s="0" t="n">
        <v>0</v>
      </c>
    </row>
    <row r="189" customFormat="false" ht="15" hidden="false" customHeight="false" outlineLevel="0" collapsed="false">
      <c r="A189" s="0" t="n">
        <v>1382</v>
      </c>
      <c r="B189" s="0" t="s">
        <v>36</v>
      </c>
      <c r="C189" s="0" t="s">
        <v>46</v>
      </c>
      <c r="D189" s="0" t="s">
        <v>31</v>
      </c>
      <c r="E189" s="0" t="s">
        <v>32</v>
      </c>
      <c r="H189" s="0" t="n">
        <v>4</v>
      </c>
      <c r="I189" s="0" t="n">
        <v>2</v>
      </c>
      <c r="J189" s="0" t="n">
        <v>-2</v>
      </c>
      <c r="K189" s="0" t="n">
        <v>56.22</v>
      </c>
      <c r="L189" s="0" t="n">
        <v>47.05</v>
      </c>
      <c r="M189" s="0" t="n">
        <v>-9.17</v>
      </c>
      <c r="N189" s="0" t="n">
        <v>22584</v>
      </c>
      <c r="Q189" s="0" t="s">
        <v>33</v>
      </c>
      <c r="R189" s="0" t="n">
        <v>4054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Z189" s="0" t="s">
        <v>33</v>
      </c>
      <c r="AA189" s="0" t="s">
        <v>40</v>
      </c>
      <c r="AB189" s="0" t="n">
        <v>0</v>
      </c>
      <c r="AC189" s="0" t="n">
        <v>0</v>
      </c>
    </row>
    <row r="190" customFormat="false" ht="15" hidden="false" customHeight="false" outlineLevel="0" collapsed="false">
      <c r="A190" s="0" t="n">
        <v>1404</v>
      </c>
      <c r="B190" s="0" t="s">
        <v>29</v>
      </c>
      <c r="C190" s="0" t="s">
        <v>48</v>
      </c>
      <c r="D190" s="0" t="s">
        <v>31</v>
      </c>
      <c r="E190" s="0" t="s">
        <v>32</v>
      </c>
      <c r="H190" s="0" t="n">
        <v>3</v>
      </c>
      <c r="I190" s="0" t="n">
        <v>2</v>
      </c>
      <c r="J190" s="0" t="n">
        <v>-1</v>
      </c>
      <c r="K190" s="0" t="n">
        <v>57.06</v>
      </c>
      <c r="L190" s="0" t="n">
        <v>53.52</v>
      </c>
      <c r="M190" s="0" t="n">
        <v>-3.54</v>
      </c>
      <c r="N190" s="0" t="n">
        <v>16051</v>
      </c>
      <c r="Q190" s="0" t="s">
        <v>33</v>
      </c>
      <c r="R190" s="0" t="n">
        <v>4054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Z190" s="0" t="s">
        <v>33</v>
      </c>
      <c r="AA190" s="0" t="s">
        <v>40</v>
      </c>
      <c r="AB190" s="0" t="n">
        <v>0</v>
      </c>
      <c r="AC190" s="0" t="n">
        <v>0</v>
      </c>
    </row>
    <row r="191" customFormat="false" ht="15" hidden="false" customHeight="false" outlineLevel="0" collapsed="false">
      <c r="A191" s="0" t="n">
        <v>1420</v>
      </c>
      <c r="B191" s="0" t="s">
        <v>29</v>
      </c>
      <c r="C191" s="0" t="s">
        <v>38</v>
      </c>
      <c r="D191" s="0" t="s">
        <v>31</v>
      </c>
      <c r="E191" s="0" t="s">
        <v>32</v>
      </c>
      <c r="H191" s="0" t="n">
        <v>5</v>
      </c>
      <c r="I191" s="0" t="n">
        <v>5</v>
      </c>
      <c r="J191" s="0" t="n">
        <v>0</v>
      </c>
      <c r="K191" s="0" t="n">
        <v>55.14</v>
      </c>
      <c r="L191" s="0" t="n">
        <v>55.14</v>
      </c>
      <c r="M191" s="0" t="n">
        <v>0</v>
      </c>
      <c r="N191" s="0" t="n">
        <v>16553</v>
      </c>
      <c r="Q191" s="0" t="s">
        <v>33</v>
      </c>
      <c r="R191" s="0" t="n">
        <v>4054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Z191" s="0" t="s">
        <v>33</v>
      </c>
      <c r="AA191" s="0" t="s">
        <v>40</v>
      </c>
      <c r="AB191" s="0" t="n">
        <v>0</v>
      </c>
      <c r="AC191" s="0" t="n">
        <v>0</v>
      </c>
    </row>
    <row r="192" customFormat="false" ht="15" hidden="false" customHeight="false" outlineLevel="0" collapsed="false">
      <c r="A192" s="0" t="n">
        <v>1440</v>
      </c>
      <c r="B192" s="0" t="s">
        <v>42</v>
      </c>
      <c r="C192" s="0" t="s">
        <v>47</v>
      </c>
      <c r="D192" s="0" t="s">
        <v>31</v>
      </c>
      <c r="E192" s="0" t="s">
        <v>32</v>
      </c>
      <c r="H192" s="0" t="n">
        <v>2</v>
      </c>
      <c r="I192" s="0" t="n">
        <v>2</v>
      </c>
      <c r="J192" s="0" t="n">
        <v>0</v>
      </c>
      <c r="K192" s="0" t="n">
        <v>64.51</v>
      </c>
      <c r="L192" s="0" t="n">
        <v>62.64</v>
      </c>
      <c r="M192" s="0" t="n">
        <v>-1.87</v>
      </c>
      <c r="N192" s="0" t="n">
        <v>10038</v>
      </c>
      <c r="Q192" s="0" t="s">
        <v>33</v>
      </c>
      <c r="R192" s="0" t="n">
        <v>4054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Z192" s="0" t="s">
        <v>34</v>
      </c>
      <c r="AA192" s="0" t="s">
        <v>37</v>
      </c>
      <c r="AB192" s="0" t="n">
        <v>0</v>
      </c>
      <c r="AC192" s="0" t="n">
        <v>0</v>
      </c>
    </row>
    <row r="193" customFormat="false" ht="15" hidden="false" customHeight="false" outlineLevel="0" collapsed="false">
      <c r="A193" s="0" t="n">
        <v>1443</v>
      </c>
      <c r="B193" s="0" t="s">
        <v>36</v>
      </c>
      <c r="C193" s="0" t="s">
        <v>51</v>
      </c>
      <c r="D193" s="0" t="s">
        <v>31</v>
      </c>
      <c r="E193" s="0" t="s">
        <v>32</v>
      </c>
      <c r="H193" s="0" t="n">
        <v>14</v>
      </c>
      <c r="I193" s="0" t="n">
        <v>13</v>
      </c>
      <c r="J193" s="0" t="n">
        <v>-1</v>
      </c>
      <c r="K193" s="0" t="n">
        <v>20.36</v>
      </c>
      <c r="L193" s="0" t="n">
        <v>23.08</v>
      </c>
      <c r="M193" s="0" t="n">
        <v>2.72</v>
      </c>
      <c r="N193" s="0" t="n">
        <v>47638</v>
      </c>
      <c r="Q193" s="0" t="s">
        <v>33</v>
      </c>
      <c r="R193" s="0" t="n">
        <v>4054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Z193" s="0" t="s">
        <v>33</v>
      </c>
      <c r="AA193" s="0" t="s">
        <v>40</v>
      </c>
      <c r="AB193" s="0" t="n">
        <v>0</v>
      </c>
      <c r="AC193" s="0" t="n">
        <v>0</v>
      </c>
    </row>
    <row r="194" customFormat="false" ht="15" hidden="false" customHeight="false" outlineLevel="0" collapsed="false">
      <c r="A194" s="0" t="n">
        <v>1449</v>
      </c>
      <c r="B194" s="0" t="s">
        <v>42</v>
      </c>
      <c r="C194" s="0" t="s">
        <v>48</v>
      </c>
      <c r="D194" s="0" t="s">
        <v>31</v>
      </c>
      <c r="E194" s="0" t="s">
        <v>32</v>
      </c>
      <c r="H194" s="0" t="n">
        <v>4</v>
      </c>
      <c r="I194" s="0" t="n">
        <v>2</v>
      </c>
      <c r="J194" s="0" t="n">
        <v>-2</v>
      </c>
      <c r="K194" s="0" t="n">
        <v>68.32</v>
      </c>
      <c r="L194" s="0" t="n">
        <v>81.3</v>
      </c>
      <c r="M194" s="0" t="n">
        <v>12.98</v>
      </c>
      <c r="N194" s="0" t="n">
        <v>7529</v>
      </c>
      <c r="Q194" s="0" t="s">
        <v>33</v>
      </c>
      <c r="R194" s="0" t="n">
        <v>4054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Z194" s="0" t="s">
        <v>33</v>
      </c>
      <c r="AA194" s="0" t="s">
        <v>40</v>
      </c>
      <c r="AB194" s="0" t="n">
        <v>0</v>
      </c>
      <c r="AC194" s="0" t="n">
        <v>0</v>
      </c>
    </row>
    <row r="195" customFormat="false" ht="15" hidden="false" customHeight="false" outlineLevel="0" collapsed="false">
      <c r="A195" s="0" t="n">
        <v>1450</v>
      </c>
      <c r="B195" s="0" t="s">
        <v>29</v>
      </c>
      <c r="C195" s="0" t="s">
        <v>39</v>
      </c>
      <c r="D195" s="0" t="s">
        <v>31</v>
      </c>
      <c r="E195" s="0" t="s">
        <v>32</v>
      </c>
      <c r="H195" s="0" t="n">
        <v>5</v>
      </c>
      <c r="I195" s="0" t="n">
        <v>5</v>
      </c>
      <c r="J195" s="0" t="n">
        <v>0</v>
      </c>
      <c r="K195" s="0" t="n">
        <v>47.37</v>
      </c>
      <c r="L195" s="0" t="n">
        <v>43.87</v>
      </c>
      <c r="M195" s="0" t="n">
        <v>-3.5</v>
      </c>
      <c r="N195" s="0" t="n">
        <v>23066</v>
      </c>
      <c r="Q195" s="0" t="s">
        <v>33</v>
      </c>
      <c r="R195" s="0" t="n">
        <v>4054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Z195" s="0" t="s">
        <v>34</v>
      </c>
      <c r="AA195" s="0" t="s">
        <v>37</v>
      </c>
      <c r="AB195" s="0" t="n">
        <v>0</v>
      </c>
      <c r="AC195" s="0" t="n">
        <v>0</v>
      </c>
    </row>
    <row r="196" customFormat="false" ht="15" hidden="false" customHeight="false" outlineLevel="0" collapsed="false">
      <c r="A196" s="0" t="n">
        <v>1459</v>
      </c>
      <c r="B196" s="0" t="s">
        <v>29</v>
      </c>
      <c r="C196" s="0" t="s">
        <v>46</v>
      </c>
      <c r="D196" s="0" t="s">
        <v>31</v>
      </c>
      <c r="E196" s="0" t="s">
        <v>32</v>
      </c>
      <c r="H196" s="0" t="n">
        <v>13</v>
      </c>
      <c r="I196" s="0" t="n">
        <v>13</v>
      </c>
      <c r="J196" s="0" t="n">
        <v>0</v>
      </c>
      <c r="K196" s="0" t="n">
        <v>27.08</v>
      </c>
      <c r="L196" s="0" t="n">
        <v>27.77</v>
      </c>
      <c r="M196" s="0" t="n">
        <v>0.69</v>
      </c>
      <c r="N196" s="0" t="n">
        <v>31094</v>
      </c>
      <c r="Q196" s="0" t="s">
        <v>33</v>
      </c>
      <c r="R196" s="0" t="n">
        <v>4054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Z196" s="0" t="s">
        <v>34</v>
      </c>
      <c r="AA196" s="0" t="s">
        <v>37</v>
      </c>
      <c r="AB196" s="0" t="n">
        <v>0</v>
      </c>
      <c r="AC196" s="0" t="n">
        <v>0</v>
      </c>
    </row>
    <row r="197" customFormat="false" ht="15" hidden="false" customHeight="false" outlineLevel="0" collapsed="false">
      <c r="A197" s="0" t="n">
        <v>1474</v>
      </c>
      <c r="B197" s="0" t="s">
        <v>29</v>
      </c>
      <c r="C197" s="0" t="s">
        <v>47</v>
      </c>
      <c r="D197" s="0" t="s">
        <v>31</v>
      </c>
      <c r="E197" s="0" t="s">
        <v>32</v>
      </c>
      <c r="H197" s="0" t="n">
        <v>3</v>
      </c>
      <c r="I197" s="0" t="n">
        <v>3</v>
      </c>
      <c r="J197" s="0" t="n">
        <v>0</v>
      </c>
      <c r="K197" s="0" t="n">
        <v>64.72</v>
      </c>
      <c r="L197" s="0" t="n">
        <v>67.01</v>
      </c>
      <c r="M197" s="0" t="n">
        <v>2.29</v>
      </c>
      <c r="N197" s="0" t="n">
        <v>10040</v>
      </c>
      <c r="Q197" s="0" t="s">
        <v>33</v>
      </c>
      <c r="R197" s="0" t="n">
        <v>4054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Z197" s="0" t="s">
        <v>34</v>
      </c>
      <c r="AA197" s="0" t="s">
        <v>37</v>
      </c>
      <c r="AB197" s="0" t="n">
        <v>0</v>
      </c>
      <c r="AC197" s="0" t="n">
        <v>0</v>
      </c>
    </row>
    <row r="198" customFormat="false" ht="15" hidden="false" customHeight="false" outlineLevel="0" collapsed="false">
      <c r="A198" s="0" t="n">
        <v>1487</v>
      </c>
      <c r="B198" s="0" t="s">
        <v>29</v>
      </c>
      <c r="C198" s="0" t="s">
        <v>38</v>
      </c>
      <c r="D198" s="0" t="s">
        <v>31</v>
      </c>
      <c r="E198" s="0" t="s">
        <v>32</v>
      </c>
      <c r="H198" s="0" t="n">
        <v>3</v>
      </c>
      <c r="I198" s="0" t="n">
        <v>3</v>
      </c>
      <c r="J198" s="0" t="n">
        <v>0</v>
      </c>
      <c r="K198" s="0" t="n">
        <v>68.86</v>
      </c>
      <c r="L198" s="0" t="n">
        <v>68.86</v>
      </c>
      <c r="M198" s="0" t="n">
        <v>0</v>
      </c>
      <c r="N198" s="0" t="n">
        <v>12543</v>
      </c>
      <c r="Q198" s="0" t="s">
        <v>33</v>
      </c>
      <c r="R198" s="0" t="n">
        <v>4054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Z198" s="0" t="s">
        <v>33</v>
      </c>
      <c r="AA198" s="0" t="s">
        <v>40</v>
      </c>
      <c r="AB198" s="0" t="n">
        <v>0</v>
      </c>
      <c r="AC198" s="0" t="n">
        <v>0</v>
      </c>
    </row>
    <row r="199" customFormat="false" ht="15" hidden="false" customHeight="false" outlineLevel="0" collapsed="false">
      <c r="A199" s="0" t="n">
        <v>1499</v>
      </c>
      <c r="B199" s="0" t="s">
        <v>36</v>
      </c>
      <c r="C199" s="0" t="s">
        <v>41</v>
      </c>
      <c r="D199" s="0" t="s">
        <v>31</v>
      </c>
      <c r="E199" s="0" t="s">
        <v>32</v>
      </c>
      <c r="H199" s="0" t="n">
        <v>5</v>
      </c>
      <c r="I199" s="0" t="n">
        <v>5</v>
      </c>
      <c r="J199" s="0" t="n">
        <v>0</v>
      </c>
      <c r="K199" s="0" t="n">
        <v>35.02</v>
      </c>
      <c r="L199" s="0" t="n">
        <v>37.61</v>
      </c>
      <c r="M199" s="0" t="n">
        <v>2.59</v>
      </c>
      <c r="N199" s="0" t="n">
        <v>27572</v>
      </c>
      <c r="Q199" s="0" t="s">
        <v>33</v>
      </c>
      <c r="R199" s="0" t="n">
        <v>4054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Z199" s="0" t="s">
        <v>33</v>
      </c>
      <c r="AA199" s="0" t="s">
        <v>40</v>
      </c>
      <c r="AB199" s="0" t="n">
        <v>0</v>
      </c>
      <c r="AC199" s="0" t="n">
        <v>0</v>
      </c>
    </row>
    <row r="200" customFormat="false" ht="15" hidden="false" customHeight="false" outlineLevel="0" collapsed="false">
      <c r="A200" s="0" t="n">
        <v>1510</v>
      </c>
      <c r="B200" s="0" t="s">
        <v>42</v>
      </c>
      <c r="C200" s="0" t="s">
        <v>41</v>
      </c>
      <c r="D200" s="0" t="s">
        <v>49</v>
      </c>
      <c r="E200" s="0" t="s">
        <v>50</v>
      </c>
      <c r="H200" s="0" t="n">
        <v>4</v>
      </c>
      <c r="I200" s="0" t="n">
        <v>4</v>
      </c>
      <c r="J200" s="0" t="n">
        <v>0</v>
      </c>
      <c r="K200" s="0" t="n">
        <v>41.84</v>
      </c>
      <c r="L200" s="0" t="n">
        <v>41.84</v>
      </c>
      <c r="M200" s="0" t="n">
        <v>0</v>
      </c>
      <c r="N200" s="0" t="n">
        <v>24069</v>
      </c>
      <c r="Q200" s="0" t="s">
        <v>34</v>
      </c>
      <c r="R200" s="0" t="n">
        <v>4054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Z200" s="0" t="s">
        <v>34</v>
      </c>
      <c r="AA200" s="0" t="s">
        <v>37</v>
      </c>
      <c r="AB200" s="0" t="n">
        <v>0</v>
      </c>
      <c r="AC200" s="0" t="n">
        <v>0</v>
      </c>
    </row>
    <row r="201" customFormat="false" ht="15" hidden="false" customHeight="false" outlineLevel="0" collapsed="false">
      <c r="A201" s="0" t="n">
        <v>1524</v>
      </c>
      <c r="B201" s="0" t="s">
        <v>29</v>
      </c>
      <c r="C201" s="0" t="s">
        <v>38</v>
      </c>
      <c r="D201" s="0" t="s">
        <v>31</v>
      </c>
      <c r="E201" s="0" t="s">
        <v>32</v>
      </c>
      <c r="H201" s="0" t="n">
        <v>7</v>
      </c>
      <c r="I201" s="0" t="n">
        <v>7</v>
      </c>
      <c r="J201" s="0" t="n">
        <v>0</v>
      </c>
      <c r="K201" s="0" t="n">
        <v>30.49</v>
      </c>
      <c r="L201" s="0" t="n">
        <v>30.49</v>
      </c>
      <c r="M201" s="0" t="n">
        <v>0</v>
      </c>
      <c r="N201" s="0" t="n">
        <v>38100</v>
      </c>
      <c r="Q201" s="0" t="s">
        <v>33</v>
      </c>
      <c r="R201" s="0" t="n">
        <v>4054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Z201" s="0" t="s">
        <v>34</v>
      </c>
      <c r="AA201" s="0" t="s">
        <v>37</v>
      </c>
      <c r="AB201" s="0" t="n">
        <v>0</v>
      </c>
      <c r="AC201" s="0" t="n">
        <v>0</v>
      </c>
    </row>
    <row r="202" customFormat="false" ht="15" hidden="false" customHeight="false" outlineLevel="0" collapsed="false">
      <c r="A202" s="0" t="n">
        <v>1529</v>
      </c>
      <c r="B202" s="0" t="s">
        <v>29</v>
      </c>
      <c r="C202" s="0" t="s">
        <v>43</v>
      </c>
      <c r="D202" s="0" t="s">
        <v>31</v>
      </c>
      <c r="E202" s="0" t="s">
        <v>32</v>
      </c>
      <c r="H202" s="0" t="n">
        <v>5</v>
      </c>
      <c r="I202" s="0" t="n">
        <v>5</v>
      </c>
      <c r="J202" s="0" t="n">
        <v>0</v>
      </c>
      <c r="K202" s="0" t="n">
        <v>55.12</v>
      </c>
      <c r="L202" s="0" t="n">
        <v>52.78</v>
      </c>
      <c r="M202" s="0" t="n">
        <v>-2.34</v>
      </c>
      <c r="N202" s="0" t="n">
        <v>17555</v>
      </c>
      <c r="Q202" s="0" t="s">
        <v>33</v>
      </c>
      <c r="R202" s="0" t="n">
        <v>4032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Z202" s="0" t="s">
        <v>34</v>
      </c>
      <c r="AA202" s="0" t="s">
        <v>37</v>
      </c>
      <c r="AB202" s="0" t="n">
        <v>0</v>
      </c>
      <c r="AC202" s="0" t="n">
        <v>0</v>
      </c>
    </row>
    <row r="203" customFormat="false" ht="15" hidden="false" customHeight="false" outlineLevel="0" collapsed="false">
      <c r="A203" s="0" t="n">
        <v>1535</v>
      </c>
      <c r="B203" s="0" t="s">
        <v>29</v>
      </c>
      <c r="C203" s="0" t="s">
        <v>39</v>
      </c>
      <c r="D203" s="0" t="s">
        <v>31</v>
      </c>
      <c r="E203" s="0" t="s">
        <v>32</v>
      </c>
      <c r="H203" s="0" t="n">
        <v>8</v>
      </c>
      <c r="I203" s="0" t="n">
        <v>8</v>
      </c>
      <c r="J203" s="0" t="n">
        <v>0</v>
      </c>
      <c r="K203" s="0" t="n">
        <v>49.59</v>
      </c>
      <c r="L203" s="0" t="n">
        <v>45.36</v>
      </c>
      <c r="M203" s="0" t="n">
        <v>-4.23</v>
      </c>
      <c r="N203" s="0" t="n">
        <v>17554</v>
      </c>
      <c r="Q203" s="0" t="s">
        <v>33</v>
      </c>
      <c r="R203" s="0" t="n">
        <v>4032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Z203" s="0" t="s">
        <v>34</v>
      </c>
      <c r="AA203" s="0" t="s">
        <v>37</v>
      </c>
      <c r="AB203" s="0" t="n">
        <v>0</v>
      </c>
      <c r="AC203" s="0" t="n">
        <v>0</v>
      </c>
    </row>
    <row r="204" customFormat="false" ht="15" hidden="false" customHeight="false" outlineLevel="0" collapsed="false">
      <c r="A204" s="0" t="n">
        <v>1539</v>
      </c>
      <c r="B204" s="0" t="s">
        <v>36</v>
      </c>
      <c r="C204" s="0" t="s">
        <v>41</v>
      </c>
      <c r="D204" s="0" t="s">
        <v>31</v>
      </c>
      <c r="E204" s="0" t="s">
        <v>32</v>
      </c>
      <c r="H204" s="0" t="n">
        <v>5</v>
      </c>
      <c r="I204" s="0" t="n">
        <v>6</v>
      </c>
      <c r="J204" s="0" t="n">
        <v>1</v>
      </c>
      <c r="K204" s="0" t="n">
        <v>46.97</v>
      </c>
      <c r="L204" s="0" t="n">
        <v>41.35</v>
      </c>
      <c r="M204" s="0" t="n">
        <v>-5.62</v>
      </c>
      <c r="N204" s="0" t="n">
        <v>22067</v>
      </c>
      <c r="Q204" s="0" t="s">
        <v>33</v>
      </c>
      <c r="R204" s="0" t="n">
        <v>4032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Z204" s="0" t="s">
        <v>33</v>
      </c>
      <c r="AA204" s="0" t="s">
        <v>40</v>
      </c>
      <c r="AB204" s="0" t="n">
        <v>0</v>
      </c>
      <c r="AC204" s="0" t="n">
        <v>0</v>
      </c>
    </row>
    <row r="205" customFormat="false" ht="15" hidden="false" customHeight="false" outlineLevel="0" collapsed="false">
      <c r="A205" s="0" t="n">
        <v>1569</v>
      </c>
      <c r="B205" s="0" t="s">
        <v>29</v>
      </c>
      <c r="C205" s="0" t="s">
        <v>38</v>
      </c>
      <c r="D205" s="0" t="s">
        <v>31</v>
      </c>
      <c r="E205" s="0" t="s">
        <v>32</v>
      </c>
      <c r="H205" s="0" t="n">
        <v>4</v>
      </c>
      <c r="I205" s="0" t="n">
        <v>4</v>
      </c>
      <c r="J205" s="0" t="n">
        <v>0</v>
      </c>
      <c r="K205" s="0" t="n">
        <v>74.3</v>
      </c>
      <c r="L205" s="0" t="n">
        <v>74.17</v>
      </c>
      <c r="M205" s="0" t="n">
        <v>-0.13</v>
      </c>
      <c r="N205" s="0" t="n">
        <v>9536</v>
      </c>
      <c r="Q205" s="0" t="s">
        <v>33</v>
      </c>
      <c r="R205" s="0" t="n">
        <v>4032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Z205" s="0" t="s">
        <v>34</v>
      </c>
      <c r="AA205" s="0" t="s">
        <v>37</v>
      </c>
      <c r="AB205" s="0" t="n">
        <v>0</v>
      </c>
      <c r="AC205" s="0" t="n">
        <v>0</v>
      </c>
    </row>
    <row r="206" customFormat="false" ht="15" hidden="false" customHeight="false" outlineLevel="0" collapsed="false">
      <c r="A206" s="0" t="n">
        <v>1576</v>
      </c>
      <c r="B206" s="0" t="s">
        <v>36</v>
      </c>
      <c r="C206" s="0" t="s">
        <v>41</v>
      </c>
      <c r="D206" s="0" t="s">
        <v>31</v>
      </c>
      <c r="E206" s="0" t="s">
        <v>32</v>
      </c>
      <c r="H206" s="0" t="n">
        <v>6</v>
      </c>
      <c r="I206" s="0" t="n">
        <v>6</v>
      </c>
      <c r="J206" s="0" t="n">
        <v>0</v>
      </c>
      <c r="K206" s="0" t="n">
        <v>0</v>
      </c>
      <c r="L206" s="0" t="n">
        <v>49.95</v>
      </c>
      <c r="M206" s="0" t="n">
        <v>49.95</v>
      </c>
      <c r="N206" s="0" t="n">
        <v>20063</v>
      </c>
      <c r="Q206" s="0" t="s">
        <v>33</v>
      </c>
      <c r="R206" s="0" t="n">
        <v>4034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Z206" s="0" t="s">
        <v>34</v>
      </c>
      <c r="AA206" s="0" t="s">
        <v>37</v>
      </c>
      <c r="AB206" s="0" t="n">
        <v>0</v>
      </c>
      <c r="AC206" s="0" t="n">
        <v>0</v>
      </c>
    </row>
    <row r="207" customFormat="false" ht="15" hidden="false" customHeight="false" outlineLevel="0" collapsed="false">
      <c r="A207" s="0" t="n">
        <v>1580</v>
      </c>
      <c r="B207" s="0" t="s">
        <v>29</v>
      </c>
      <c r="C207" s="0" t="s">
        <v>46</v>
      </c>
      <c r="D207" s="0" t="s">
        <v>31</v>
      </c>
      <c r="E207" s="0" t="s">
        <v>32</v>
      </c>
      <c r="H207" s="0" t="n">
        <v>8</v>
      </c>
      <c r="I207" s="0" t="n">
        <v>8</v>
      </c>
      <c r="J207" s="0" t="n">
        <v>0</v>
      </c>
      <c r="K207" s="0" t="n">
        <v>59.21</v>
      </c>
      <c r="L207" s="0" t="n">
        <v>60.24</v>
      </c>
      <c r="M207" s="0" t="n">
        <v>1.03</v>
      </c>
      <c r="N207" s="0" t="n">
        <v>15553</v>
      </c>
      <c r="Q207" s="0" t="s">
        <v>33</v>
      </c>
      <c r="R207" s="0" t="n">
        <v>4034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Z207" s="0" t="s">
        <v>34</v>
      </c>
      <c r="AA207" s="0" t="s">
        <v>37</v>
      </c>
      <c r="AB207" s="0" t="n">
        <v>0</v>
      </c>
      <c r="AC207" s="0" t="n">
        <v>0</v>
      </c>
    </row>
    <row r="208" customFormat="false" ht="15" hidden="false" customHeight="false" outlineLevel="0" collapsed="false">
      <c r="A208" s="0" t="n">
        <v>1611</v>
      </c>
      <c r="B208" s="0" t="s">
        <v>29</v>
      </c>
      <c r="C208" s="0" t="s">
        <v>48</v>
      </c>
      <c r="D208" s="0" t="s">
        <v>31</v>
      </c>
      <c r="E208" s="0" t="s">
        <v>32</v>
      </c>
      <c r="H208" s="0" t="n">
        <v>2</v>
      </c>
      <c r="I208" s="0" t="n">
        <v>1</v>
      </c>
      <c r="J208" s="0" t="n">
        <v>-1</v>
      </c>
      <c r="K208" s="0" t="n">
        <v>78.33</v>
      </c>
      <c r="L208" s="0" t="n">
        <v>80.57</v>
      </c>
      <c r="M208" s="0" t="n">
        <v>2.24</v>
      </c>
      <c r="N208" s="0" t="n">
        <v>8531</v>
      </c>
      <c r="Q208" s="0" t="s">
        <v>33</v>
      </c>
      <c r="R208" s="0" t="n">
        <v>4034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Z208" s="0" t="s">
        <v>33</v>
      </c>
      <c r="AA208" s="0" t="s">
        <v>40</v>
      </c>
      <c r="AB208" s="0" t="n">
        <v>0</v>
      </c>
      <c r="AC208" s="0" t="n">
        <v>0</v>
      </c>
    </row>
    <row r="209" customFormat="false" ht="15" hidden="false" customHeight="false" outlineLevel="0" collapsed="false">
      <c r="A209" s="0" t="n">
        <v>1647</v>
      </c>
      <c r="B209" s="0" t="s">
        <v>42</v>
      </c>
      <c r="C209" s="0" t="s">
        <v>39</v>
      </c>
      <c r="D209" s="0" t="s">
        <v>31</v>
      </c>
      <c r="E209" s="0" t="s">
        <v>32</v>
      </c>
      <c r="H209" s="0" t="n">
        <v>3</v>
      </c>
      <c r="I209" s="0" t="n">
        <v>3</v>
      </c>
      <c r="J209" s="0" t="n">
        <v>0</v>
      </c>
      <c r="K209" s="0" t="n">
        <v>62.42</v>
      </c>
      <c r="L209" s="0" t="n">
        <v>56.68</v>
      </c>
      <c r="M209" s="0" t="n">
        <v>-5.74</v>
      </c>
      <c r="N209" s="0" t="n">
        <v>13552</v>
      </c>
      <c r="Q209" s="0" t="s">
        <v>33</v>
      </c>
      <c r="R209" s="0" t="n">
        <v>4034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Z209" s="0" t="s">
        <v>34</v>
      </c>
      <c r="AA209" s="0" t="s">
        <v>37</v>
      </c>
      <c r="AB209" s="0" t="n">
        <v>0</v>
      </c>
      <c r="AC209" s="0" t="n">
        <v>0</v>
      </c>
    </row>
    <row r="210" customFormat="false" ht="15" hidden="false" customHeight="false" outlineLevel="0" collapsed="false">
      <c r="A210" s="0" t="n">
        <v>1657</v>
      </c>
      <c r="B210" s="0" t="s">
        <v>29</v>
      </c>
      <c r="C210" s="0" t="s">
        <v>38</v>
      </c>
      <c r="D210" s="0" t="s">
        <v>31</v>
      </c>
      <c r="E210" s="0" t="s">
        <v>32</v>
      </c>
      <c r="H210" s="0" t="n">
        <v>3</v>
      </c>
      <c r="I210" s="0" t="n">
        <v>3</v>
      </c>
      <c r="J210" s="0" t="n">
        <v>0</v>
      </c>
      <c r="K210" s="0" t="n">
        <v>53.94</v>
      </c>
      <c r="L210" s="0" t="n">
        <v>53.94</v>
      </c>
      <c r="M210" s="0" t="n">
        <v>0</v>
      </c>
      <c r="N210" s="0" t="n">
        <v>15052</v>
      </c>
      <c r="Q210" s="0" t="s">
        <v>33</v>
      </c>
      <c r="R210" s="0" t="n">
        <v>4034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Z210" s="0" t="s">
        <v>33</v>
      </c>
      <c r="AA210" s="0" t="s">
        <v>40</v>
      </c>
      <c r="AB210" s="0" t="n">
        <v>0</v>
      </c>
      <c r="AC210" s="0" t="n">
        <v>0</v>
      </c>
    </row>
    <row r="211" customFormat="false" ht="15" hidden="false" customHeight="false" outlineLevel="0" collapsed="false">
      <c r="A211" s="0" t="n">
        <v>1663</v>
      </c>
      <c r="B211" s="0" t="s">
        <v>29</v>
      </c>
      <c r="C211" s="0" t="s">
        <v>38</v>
      </c>
      <c r="D211" s="0" t="s">
        <v>31</v>
      </c>
      <c r="E211" s="0" t="s">
        <v>32</v>
      </c>
      <c r="H211" s="0" t="n">
        <v>2</v>
      </c>
      <c r="I211" s="0" t="n">
        <v>2</v>
      </c>
      <c r="J211" s="0" t="n">
        <v>0</v>
      </c>
      <c r="K211" s="0" t="n">
        <v>69.4</v>
      </c>
      <c r="L211" s="0" t="n">
        <v>69.4</v>
      </c>
      <c r="M211" s="0" t="n">
        <v>0</v>
      </c>
      <c r="N211" s="0" t="n">
        <v>10536</v>
      </c>
      <c r="Q211" s="0" t="s">
        <v>33</v>
      </c>
      <c r="R211" s="0" t="n">
        <v>4034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Z211" s="0" t="s">
        <v>33</v>
      </c>
      <c r="AA211" s="0" t="s">
        <v>40</v>
      </c>
      <c r="AB211" s="0" t="n">
        <v>0</v>
      </c>
      <c r="AC211" s="0" t="n">
        <v>0</v>
      </c>
    </row>
    <row r="212" customFormat="false" ht="15" hidden="false" customHeight="false" outlineLevel="0" collapsed="false">
      <c r="A212" s="0" t="n">
        <v>1679</v>
      </c>
      <c r="B212" s="0" t="s">
        <v>42</v>
      </c>
      <c r="C212" s="0" t="s">
        <v>38</v>
      </c>
      <c r="D212" s="0" t="s">
        <v>31</v>
      </c>
      <c r="E212" s="0" t="s">
        <v>32</v>
      </c>
      <c r="H212" s="0" t="n">
        <v>4</v>
      </c>
      <c r="I212" s="0" t="n">
        <v>4</v>
      </c>
      <c r="J212" s="0" t="n">
        <v>0</v>
      </c>
      <c r="K212" s="0" t="n">
        <v>61.28</v>
      </c>
      <c r="L212" s="0" t="n">
        <v>61.28</v>
      </c>
      <c r="M212" s="0" t="n">
        <v>0</v>
      </c>
      <c r="N212" s="0" t="n">
        <v>14050</v>
      </c>
      <c r="Q212" s="0" t="s">
        <v>33</v>
      </c>
      <c r="R212" s="0" t="n">
        <v>4034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Z212" s="0" t="s">
        <v>34</v>
      </c>
      <c r="AA212" s="0" t="s">
        <v>37</v>
      </c>
      <c r="AB212" s="0" t="n">
        <v>0</v>
      </c>
      <c r="AC212" s="0" t="n">
        <v>0</v>
      </c>
    </row>
    <row r="213" customFormat="false" ht="15" hidden="false" customHeight="false" outlineLevel="0" collapsed="false">
      <c r="A213" s="0" t="n">
        <v>1708</v>
      </c>
      <c r="B213" s="0" t="s">
        <v>29</v>
      </c>
      <c r="C213" s="0" t="s">
        <v>46</v>
      </c>
      <c r="D213" s="0" t="s">
        <v>31</v>
      </c>
      <c r="E213" s="0" t="s">
        <v>32</v>
      </c>
      <c r="H213" s="0" t="n">
        <v>7</v>
      </c>
      <c r="I213" s="0" t="n">
        <v>4</v>
      </c>
      <c r="J213" s="0" t="n">
        <v>-3</v>
      </c>
      <c r="K213" s="0" t="n">
        <v>42.71</v>
      </c>
      <c r="L213" s="0" t="n">
        <v>40.15</v>
      </c>
      <c r="M213" s="0" t="n">
        <v>-2.56</v>
      </c>
      <c r="N213" s="0" t="n">
        <v>24575</v>
      </c>
      <c r="Q213" s="0" t="s">
        <v>33</v>
      </c>
      <c r="R213" s="0" t="n">
        <v>4034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Z213" s="0" t="s">
        <v>34</v>
      </c>
      <c r="AA213" s="0" t="s">
        <v>37</v>
      </c>
      <c r="AB213" s="0" t="n">
        <v>0</v>
      </c>
      <c r="AC213" s="0" t="n">
        <v>0</v>
      </c>
    </row>
    <row r="214" customFormat="false" ht="15" hidden="false" customHeight="false" outlineLevel="0" collapsed="false">
      <c r="A214" s="0" t="n">
        <v>1718</v>
      </c>
      <c r="B214" s="0" t="s">
        <v>29</v>
      </c>
      <c r="C214" s="0" t="s">
        <v>39</v>
      </c>
      <c r="D214" s="0" t="s">
        <v>31</v>
      </c>
      <c r="E214" s="0" t="s">
        <v>32</v>
      </c>
      <c r="H214" s="0" t="n">
        <v>5</v>
      </c>
      <c r="I214" s="0" t="n">
        <v>6</v>
      </c>
      <c r="J214" s="0" t="n">
        <v>1</v>
      </c>
      <c r="K214" s="0" t="n">
        <v>63.59</v>
      </c>
      <c r="L214" s="0" t="n">
        <v>57.11</v>
      </c>
      <c r="M214" s="0" t="n">
        <v>-6.48</v>
      </c>
      <c r="N214" s="0" t="n">
        <v>14048</v>
      </c>
      <c r="Q214" s="0" t="s">
        <v>33</v>
      </c>
      <c r="R214" s="0" t="n">
        <v>4034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Z214" s="0" t="s">
        <v>33</v>
      </c>
      <c r="AA214" s="0" t="s">
        <v>40</v>
      </c>
      <c r="AB214" s="0" t="n">
        <v>0</v>
      </c>
      <c r="AC214" s="0" t="n">
        <v>0</v>
      </c>
    </row>
    <row r="215" customFormat="false" ht="15" hidden="false" customHeight="false" outlineLevel="0" collapsed="false">
      <c r="A215" s="0" t="n">
        <v>1727</v>
      </c>
      <c r="B215" s="0" t="s">
        <v>29</v>
      </c>
      <c r="C215" s="0" t="s">
        <v>41</v>
      </c>
      <c r="D215" s="0" t="s">
        <v>31</v>
      </c>
      <c r="E215" s="0" t="s">
        <v>32</v>
      </c>
      <c r="H215" s="0" t="n">
        <v>4</v>
      </c>
      <c r="I215" s="0" t="n">
        <v>4</v>
      </c>
      <c r="J215" s="0" t="n">
        <v>0</v>
      </c>
      <c r="K215" s="0" t="n">
        <v>55.21</v>
      </c>
      <c r="L215" s="0" t="n">
        <v>55.21</v>
      </c>
      <c r="M215" s="0" t="n">
        <v>0</v>
      </c>
      <c r="N215" s="0" t="n">
        <v>15551</v>
      </c>
      <c r="Q215" s="0" t="s">
        <v>33</v>
      </c>
      <c r="R215" s="0" t="n">
        <v>4034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Z215" s="0" t="s">
        <v>33</v>
      </c>
      <c r="AA215" s="0" t="s">
        <v>40</v>
      </c>
      <c r="AB215" s="0" t="n">
        <v>0</v>
      </c>
      <c r="AC215" s="0" t="n">
        <v>0</v>
      </c>
    </row>
    <row r="216" customFormat="false" ht="15" hidden="false" customHeight="false" outlineLevel="0" collapsed="false">
      <c r="A216" s="0" t="n">
        <v>1737</v>
      </c>
      <c r="B216" s="0" t="s">
        <v>36</v>
      </c>
      <c r="C216" s="0" t="s">
        <v>52</v>
      </c>
      <c r="D216" s="0" t="s">
        <v>31</v>
      </c>
      <c r="E216" s="0" t="s">
        <v>32</v>
      </c>
      <c r="H216" s="0" t="n">
        <v>3</v>
      </c>
      <c r="I216" s="0" t="n">
        <v>3</v>
      </c>
      <c r="J216" s="0" t="n">
        <v>0</v>
      </c>
      <c r="K216" s="0" t="n">
        <v>50.92</v>
      </c>
      <c r="L216" s="0" t="n">
        <v>50.97</v>
      </c>
      <c r="M216" s="0" t="n">
        <v>0.05</v>
      </c>
      <c r="N216" s="0" t="n">
        <v>21080</v>
      </c>
      <c r="Q216" s="0" t="s">
        <v>33</v>
      </c>
      <c r="R216" s="0" t="n">
        <v>4034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Z216" s="0" t="s">
        <v>34</v>
      </c>
      <c r="AA216" s="0" t="s">
        <v>37</v>
      </c>
      <c r="AB216" s="0" t="n">
        <v>0</v>
      </c>
      <c r="AC216" s="0" t="n">
        <v>0</v>
      </c>
    </row>
    <row r="217" customFormat="false" ht="15" hidden="false" customHeight="false" outlineLevel="0" collapsed="false">
      <c r="A217" s="0" t="n">
        <v>1745</v>
      </c>
      <c r="B217" s="0" t="s">
        <v>29</v>
      </c>
      <c r="C217" s="0" t="s">
        <v>43</v>
      </c>
      <c r="D217" s="0" t="s">
        <v>31</v>
      </c>
      <c r="E217" s="0" t="s">
        <v>32</v>
      </c>
      <c r="H217" s="0" t="n">
        <v>6</v>
      </c>
      <c r="I217" s="0" t="n">
        <v>6</v>
      </c>
      <c r="J217" s="0" t="n">
        <v>0</v>
      </c>
      <c r="K217" s="0" t="n">
        <v>44.41</v>
      </c>
      <c r="L217" s="0" t="n">
        <v>43.87</v>
      </c>
      <c r="M217" s="0" t="n">
        <v>-0.54</v>
      </c>
      <c r="N217" s="0" t="n">
        <v>26583</v>
      </c>
      <c r="Q217" s="0" t="s">
        <v>33</v>
      </c>
      <c r="R217" s="0" t="n">
        <v>4034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Z217" s="0" t="s">
        <v>34</v>
      </c>
      <c r="AA217" s="0" t="s">
        <v>37</v>
      </c>
      <c r="AB217" s="0" t="n">
        <v>0</v>
      </c>
      <c r="AC217" s="0" t="n">
        <v>0</v>
      </c>
    </row>
    <row r="218" customFormat="false" ht="15" hidden="false" customHeight="false" outlineLevel="0" collapsed="false">
      <c r="A218" s="0" t="n">
        <v>1746</v>
      </c>
      <c r="B218" s="0" t="s">
        <v>29</v>
      </c>
      <c r="C218" s="0" t="s">
        <v>43</v>
      </c>
      <c r="D218" s="0" t="s">
        <v>31</v>
      </c>
      <c r="E218" s="0" t="s">
        <v>32</v>
      </c>
      <c r="H218" s="0" t="n">
        <v>5</v>
      </c>
      <c r="I218" s="0" t="n">
        <v>5</v>
      </c>
      <c r="J218" s="0" t="n">
        <v>0</v>
      </c>
      <c r="K218" s="0" t="n">
        <v>37.49</v>
      </c>
      <c r="L218" s="0" t="n">
        <v>38.45</v>
      </c>
      <c r="M218" s="0" t="n">
        <v>0.96</v>
      </c>
      <c r="N218" s="0" t="n">
        <v>26578</v>
      </c>
      <c r="Q218" s="0" t="s">
        <v>33</v>
      </c>
      <c r="R218" s="0" t="n">
        <v>4034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Z218" s="0" t="s">
        <v>34</v>
      </c>
      <c r="AA218" s="0" t="s">
        <v>37</v>
      </c>
      <c r="AB218" s="0" t="n">
        <v>0</v>
      </c>
      <c r="AC218" s="0" t="n">
        <v>0</v>
      </c>
    </row>
    <row r="219" customFormat="false" ht="15" hidden="false" customHeight="false" outlineLevel="0" collapsed="false">
      <c r="A219" s="0" t="n">
        <v>1755</v>
      </c>
      <c r="B219" s="0" t="s">
        <v>29</v>
      </c>
      <c r="C219" s="0" t="s">
        <v>38</v>
      </c>
      <c r="D219" s="0" t="s">
        <v>31</v>
      </c>
      <c r="E219" s="0" t="s">
        <v>32</v>
      </c>
      <c r="H219" s="0" t="n">
        <v>2</v>
      </c>
      <c r="I219" s="0" t="n">
        <v>2</v>
      </c>
      <c r="J219" s="0" t="n">
        <v>0</v>
      </c>
      <c r="K219" s="0" t="n">
        <v>73.27</v>
      </c>
      <c r="L219" s="0" t="n">
        <v>73.27</v>
      </c>
      <c r="M219" s="0" t="n">
        <v>0</v>
      </c>
      <c r="N219" s="0" t="n">
        <v>9038</v>
      </c>
      <c r="Q219" s="0" t="s">
        <v>33</v>
      </c>
      <c r="R219" s="0" t="n">
        <v>4034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Z219" s="0" t="s">
        <v>34</v>
      </c>
      <c r="AA219" s="0" t="s">
        <v>37</v>
      </c>
      <c r="AB219" s="0" t="n">
        <v>0</v>
      </c>
      <c r="AC219" s="0" t="n">
        <v>0</v>
      </c>
    </row>
    <row r="220" customFormat="false" ht="15" hidden="false" customHeight="false" outlineLevel="0" collapsed="false">
      <c r="A220" s="0" t="n">
        <v>1785</v>
      </c>
      <c r="B220" s="0" t="s">
        <v>36</v>
      </c>
      <c r="C220" s="0" t="s">
        <v>30</v>
      </c>
      <c r="D220" s="0" t="s">
        <v>31</v>
      </c>
      <c r="E220" s="0" t="s">
        <v>32</v>
      </c>
      <c r="H220" s="0" t="n">
        <v>5</v>
      </c>
      <c r="I220" s="0" t="n">
        <v>5</v>
      </c>
      <c r="J220" s="0" t="n">
        <v>0</v>
      </c>
      <c r="K220" s="0" t="n">
        <v>59.98</v>
      </c>
      <c r="L220" s="0" t="n">
        <v>52.64</v>
      </c>
      <c r="M220" s="0" t="n">
        <v>-7.34</v>
      </c>
      <c r="N220" s="0" t="n">
        <v>13048</v>
      </c>
      <c r="Q220" s="0" t="s">
        <v>33</v>
      </c>
      <c r="R220" s="0" t="n">
        <v>4034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Z220" s="0" t="s">
        <v>34</v>
      </c>
      <c r="AA220" s="0" t="s">
        <v>37</v>
      </c>
      <c r="AB220" s="0" t="n">
        <v>0</v>
      </c>
      <c r="AC220" s="0" t="n">
        <v>0</v>
      </c>
    </row>
    <row r="221" customFormat="false" ht="15" hidden="false" customHeight="false" outlineLevel="0" collapsed="false">
      <c r="A221" s="0" t="n">
        <v>1792</v>
      </c>
      <c r="B221" s="0" t="s">
        <v>29</v>
      </c>
      <c r="C221" s="0" t="s">
        <v>52</v>
      </c>
      <c r="D221" s="0" t="s">
        <v>31</v>
      </c>
      <c r="E221" s="0" t="s">
        <v>32</v>
      </c>
      <c r="H221" s="0" t="n">
        <v>2</v>
      </c>
      <c r="I221" s="0" t="n">
        <v>2</v>
      </c>
      <c r="J221" s="0" t="n">
        <v>0</v>
      </c>
      <c r="K221" s="0" t="n">
        <v>54.31</v>
      </c>
      <c r="L221" s="0" t="n">
        <v>54.36</v>
      </c>
      <c r="M221" s="0" t="n">
        <v>0.05</v>
      </c>
      <c r="N221" s="0" t="n">
        <v>15054</v>
      </c>
      <c r="Q221" s="0" t="s">
        <v>33</v>
      </c>
      <c r="R221" s="0" t="n">
        <v>4034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Z221" s="0" t="s">
        <v>34</v>
      </c>
      <c r="AA221" s="0" t="s">
        <v>37</v>
      </c>
      <c r="AB221" s="0" t="n">
        <v>0</v>
      </c>
      <c r="AC221" s="0" t="n">
        <v>0</v>
      </c>
    </row>
    <row r="222" customFormat="false" ht="15" hidden="false" customHeight="false" outlineLevel="0" collapsed="false">
      <c r="A222" s="0" t="n">
        <v>1793</v>
      </c>
      <c r="B222" s="0" t="s">
        <v>36</v>
      </c>
      <c r="C222" s="0" t="s">
        <v>30</v>
      </c>
      <c r="D222" s="0" t="s">
        <v>31</v>
      </c>
      <c r="E222" s="0" t="s">
        <v>32</v>
      </c>
      <c r="H222" s="0" t="n">
        <v>4</v>
      </c>
      <c r="I222" s="0" t="n">
        <v>4</v>
      </c>
      <c r="J222" s="0" t="n">
        <v>0</v>
      </c>
      <c r="K222" s="0" t="n">
        <v>48.89</v>
      </c>
      <c r="L222" s="0" t="n">
        <v>44.24</v>
      </c>
      <c r="M222" s="0" t="n">
        <v>-4.65</v>
      </c>
      <c r="N222" s="0" t="n">
        <v>18057</v>
      </c>
      <c r="Q222" s="0" t="s">
        <v>33</v>
      </c>
      <c r="R222" s="0" t="n">
        <v>4034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Z222" s="0" t="s">
        <v>34</v>
      </c>
      <c r="AA222" s="0" t="s">
        <v>37</v>
      </c>
      <c r="AB222" s="0" t="n">
        <v>0</v>
      </c>
      <c r="AC222" s="0" t="n">
        <v>0</v>
      </c>
    </row>
    <row r="223" customFormat="false" ht="15" hidden="false" customHeight="false" outlineLevel="0" collapsed="false">
      <c r="A223" s="0" t="n">
        <v>1820</v>
      </c>
      <c r="B223" s="0" t="s">
        <v>29</v>
      </c>
      <c r="C223" s="0" t="s">
        <v>48</v>
      </c>
      <c r="D223" s="0" t="s">
        <v>31</v>
      </c>
      <c r="E223" s="0" t="s">
        <v>32</v>
      </c>
      <c r="H223" s="0" t="n">
        <v>5</v>
      </c>
      <c r="I223" s="0" t="n">
        <v>4</v>
      </c>
      <c r="J223" s="0" t="n">
        <v>-1</v>
      </c>
      <c r="K223" s="0" t="n">
        <v>63.36</v>
      </c>
      <c r="L223" s="0" t="n">
        <v>47.3</v>
      </c>
      <c r="M223" s="0" t="n">
        <v>-16.06</v>
      </c>
      <c r="N223" s="0" t="n">
        <v>22577</v>
      </c>
      <c r="Q223" s="0" t="s">
        <v>33</v>
      </c>
      <c r="R223" s="0" t="n">
        <v>4034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Z223" s="0" t="s">
        <v>33</v>
      </c>
      <c r="AA223" s="0" t="s">
        <v>40</v>
      </c>
      <c r="AB223" s="0" t="n">
        <v>0</v>
      </c>
      <c r="AC223" s="0" t="n">
        <v>0</v>
      </c>
    </row>
    <row r="224" customFormat="false" ht="15" hidden="false" customHeight="false" outlineLevel="0" collapsed="false">
      <c r="A224" s="0" t="n">
        <v>1854</v>
      </c>
      <c r="B224" s="0" t="s">
        <v>36</v>
      </c>
      <c r="C224" s="0" t="s">
        <v>30</v>
      </c>
      <c r="D224" s="0" t="s">
        <v>31</v>
      </c>
      <c r="E224" s="0" t="s">
        <v>32</v>
      </c>
      <c r="H224" s="0" t="n">
        <v>4</v>
      </c>
      <c r="I224" s="0" t="n">
        <v>4</v>
      </c>
      <c r="J224" s="0" t="n">
        <v>0</v>
      </c>
      <c r="K224" s="0" t="n">
        <v>35.59</v>
      </c>
      <c r="L224" s="0" t="n">
        <v>34.02</v>
      </c>
      <c r="M224" s="0" t="n">
        <v>-1.57</v>
      </c>
      <c r="N224" s="0" t="n">
        <v>34100</v>
      </c>
      <c r="Q224" s="0" t="s">
        <v>33</v>
      </c>
      <c r="R224" s="0" t="n">
        <v>4040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Z224" s="0" t="s">
        <v>34</v>
      </c>
      <c r="AA224" s="0" t="s">
        <v>37</v>
      </c>
      <c r="AB224" s="0" t="n">
        <v>0</v>
      </c>
      <c r="AC224" s="0" t="n">
        <v>0</v>
      </c>
    </row>
    <row r="225" customFormat="false" ht="15" hidden="false" customHeight="false" outlineLevel="0" collapsed="false">
      <c r="A225" s="0" t="n">
        <v>1860</v>
      </c>
      <c r="B225" s="0" t="s">
        <v>42</v>
      </c>
      <c r="C225" s="0" t="s">
        <v>43</v>
      </c>
      <c r="D225" s="0" t="s">
        <v>31</v>
      </c>
      <c r="E225" s="0" t="s">
        <v>32</v>
      </c>
      <c r="H225" s="0" t="n">
        <v>6</v>
      </c>
      <c r="I225" s="0" t="n">
        <v>6</v>
      </c>
      <c r="J225" s="0" t="n">
        <v>0</v>
      </c>
      <c r="K225" s="0" t="n">
        <v>60.03</v>
      </c>
      <c r="L225" s="0" t="n">
        <v>64.45</v>
      </c>
      <c r="M225" s="0" t="n">
        <v>4.42</v>
      </c>
      <c r="N225" s="0" t="n">
        <v>12045</v>
      </c>
      <c r="Q225" s="0" t="s">
        <v>33</v>
      </c>
      <c r="R225" s="0" t="n">
        <v>4040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Z225" s="0" t="s">
        <v>34</v>
      </c>
      <c r="AA225" s="0" t="s">
        <v>37</v>
      </c>
      <c r="AB225" s="0" t="n">
        <v>0</v>
      </c>
      <c r="AC225" s="0" t="n">
        <v>0</v>
      </c>
    </row>
    <row r="226" customFormat="false" ht="15" hidden="false" customHeight="false" outlineLevel="0" collapsed="false">
      <c r="A226" s="0" t="n">
        <v>1861</v>
      </c>
      <c r="B226" s="0" t="s">
        <v>29</v>
      </c>
      <c r="C226" s="0" t="s">
        <v>30</v>
      </c>
      <c r="D226" s="0" t="s">
        <v>31</v>
      </c>
      <c r="E226" s="0" t="s">
        <v>32</v>
      </c>
      <c r="H226" s="0" t="n">
        <v>8</v>
      </c>
      <c r="I226" s="0" t="n">
        <v>8</v>
      </c>
      <c r="J226" s="0" t="n">
        <v>0</v>
      </c>
      <c r="K226" s="0" t="n">
        <v>0</v>
      </c>
      <c r="L226" s="0" t="n">
        <v>29.99</v>
      </c>
      <c r="M226" s="0" t="n">
        <v>29.99</v>
      </c>
      <c r="N226" s="0" t="n">
        <v>34102</v>
      </c>
      <c r="Q226" s="0" t="s">
        <v>33</v>
      </c>
      <c r="R226" s="0" t="n">
        <v>4040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Z226" s="0" t="s">
        <v>34</v>
      </c>
      <c r="AA226" s="0" t="s">
        <v>37</v>
      </c>
      <c r="AB226" s="0" t="n">
        <v>0</v>
      </c>
      <c r="AC226" s="0" t="n">
        <v>0</v>
      </c>
    </row>
    <row r="227" customFormat="false" ht="15" hidden="false" customHeight="false" outlineLevel="0" collapsed="false">
      <c r="A227" s="0" t="n">
        <v>1895</v>
      </c>
      <c r="B227" s="0" t="s">
        <v>29</v>
      </c>
      <c r="C227" s="0" t="s">
        <v>39</v>
      </c>
      <c r="D227" s="0" t="s">
        <v>31</v>
      </c>
      <c r="E227" s="0" t="s">
        <v>32</v>
      </c>
      <c r="H227" s="0" t="n">
        <v>3</v>
      </c>
      <c r="I227" s="0" t="n">
        <v>3</v>
      </c>
      <c r="J227" s="0" t="n">
        <v>0</v>
      </c>
      <c r="K227" s="0" t="n">
        <v>62.16</v>
      </c>
      <c r="L227" s="0" t="n">
        <v>57.11</v>
      </c>
      <c r="M227" s="0" t="n">
        <v>-5.05</v>
      </c>
      <c r="N227" s="0" t="n">
        <v>15554</v>
      </c>
      <c r="Q227" s="0" t="s">
        <v>33</v>
      </c>
      <c r="R227" s="0" t="n">
        <v>4040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Z227" s="0" t="s">
        <v>34</v>
      </c>
      <c r="AA227" s="0" t="s">
        <v>37</v>
      </c>
      <c r="AB227" s="0" t="n">
        <v>0</v>
      </c>
      <c r="AC227" s="0" t="n">
        <v>0</v>
      </c>
    </row>
    <row r="228" customFormat="false" ht="15" hidden="false" customHeight="false" outlineLevel="0" collapsed="false">
      <c r="A228" s="0" t="n">
        <v>1896</v>
      </c>
      <c r="B228" s="0" t="s">
        <v>36</v>
      </c>
      <c r="C228" s="0" t="s">
        <v>38</v>
      </c>
      <c r="D228" s="0" t="s">
        <v>31</v>
      </c>
      <c r="E228" s="0" t="s">
        <v>32</v>
      </c>
      <c r="H228" s="0" t="n">
        <v>2</v>
      </c>
      <c r="I228" s="0" t="n">
        <v>2</v>
      </c>
      <c r="J228" s="0" t="n">
        <v>0</v>
      </c>
      <c r="K228" s="0" t="n">
        <v>63.94</v>
      </c>
      <c r="L228" s="0" t="n">
        <v>63.94</v>
      </c>
      <c r="M228" s="0" t="n">
        <v>0</v>
      </c>
      <c r="N228" s="0" t="n">
        <v>11044</v>
      </c>
      <c r="Q228" s="0" t="s">
        <v>33</v>
      </c>
      <c r="R228" s="0" t="n">
        <v>4040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Z228" s="0" t="s">
        <v>33</v>
      </c>
      <c r="AA228" s="0" t="s">
        <v>40</v>
      </c>
      <c r="AB228" s="0" t="n">
        <v>0</v>
      </c>
      <c r="AC228" s="0" t="n">
        <v>0</v>
      </c>
    </row>
    <row r="229" customFormat="false" ht="15" hidden="false" customHeight="false" outlineLevel="0" collapsed="false">
      <c r="A229" s="0" t="n">
        <v>1905</v>
      </c>
      <c r="B229" s="0" t="s">
        <v>36</v>
      </c>
      <c r="C229" s="0" t="s">
        <v>39</v>
      </c>
      <c r="D229" s="0" t="s">
        <v>31</v>
      </c>
      <c r="E229" s="0" t="s">
        <v>32</v>
      </c>
      <c r="H229" s="0" t="n">
        <v>4</v>
      </c>
      <c r="I229" s="0" t="n">
        <v>3</v>
      </c>
      <c r="J229" s="0" t="n">
        <v>-1</v>
      </c>
      <c r="K229" s="0" t="n">
        <v>54.65</v>
      </c>
      <c r="L229" s="0" t="n">
        <v>50.3</v>
      </c>
      <c r="M229" s="0" t="n">
        <v>-4.35</v>
      </c>
      <c r="N229" s="0" t="n">
        <v>18563</v>
      </c>
      <c r="Q229" s="0" t="s">
        <v>33</v>
      </c>
      <c r="R229" s="0" t="n">
        <v>4040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Z229" s="0" t="s">
        <v>34</v>
      </c>
      <c r="AA229" s="0" t="s">
        <v>37</v>
      </c>
      <c r="AB229" s="0" t="n">
        <v>0</v>
      </c>
      <c r="AC229" s="0" t="n">
        <v>0</v>
      </c>
    </row>
    <row r="230" customFormat="false" ht="15" hidden="false" customHeight="false" outlineLevel="0" collapsed="false">
      <c r="A230" s="0" t="n">
        <v>1908</v>
      </c>
      <c r="B230" s="0" t="s">
        <v>29</v>
      </c>
      <c r="C230" s="0" t="s">
        <v>48</v>
      </c>
      <c r="D230" s="0" t="s">
        <v>31</v>
      </c>
      <c r="E230" s="0" t="s">
        <v>32</v>
      </c>
      <c r="H230" s="0" t="n">
        <v>3</v>
      </c>
      <c r="I230" s="0" t="n">
        <v>1</v>
      </c>
      <c r="J230" s="0" t="n">
        <v>-2</v>
      </c>
      <c r="K230" s="0" t="n">
        <v>75.08</v>
      </c>
      <c r="L230" s="0" t="n">
        <v>74.43</v>
      </c>
      <c r="M230" s="0" t="n">
        <v>-0.65</v>
      </c>
      <c r="N230" s="0" t="n">
        <v>9034</v>
      </c>
      <c r="Q230" s="0" t="s">
        <v>33</v>
      </c>
      <c r="R230" s="0" t="n">
        <v>4040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Z230" s="0" t="s">
        <v>33</v>
      </c>
      <c r="AA230" s="0" t="s">
        <v>40</v>
      </c>
      <c r="AB230" s="0" t="n">
        <v>0</v>
      </c>
      <c r="AC230" s="0" t="n">
        <v>0</v>
      </c>
    </row>
    <row r="231" customFormat="false" ht="15" hidden="false" customHeight="false" outlineLevel="0" collapsed="false">
      <c r="A231" s="0" t="n">
        <v>1956</v>
      </c>
      <c r="B231" s="0" t="s">
        <v>29</v>
      </c>
      <c r="C231" s="0" t="s">
        <v>39</v>
      </c>
      <c r="D231" s="0" t="s">
        <v>31</v>
      </c>
      <c r="E231" s="0" t="s">
        <v>32</v>
      </c>
      <c r="H231" s="0" t="n">
        <v>3</v>
      </c>
      <c r="I231" s="0" t="n">
        <v>3</v>
      </c>
      <c r="J231" s="0" t="n">
        <v>0</v>
      </c>
      <c r="K231" s="0" t="n">
        <v>78.69</v>
      </c>
      <c r="L231" s="0" t="n">
        <v>70.99</v>
      </c>
      <c r="M231" s="0" t="n">
        <v>-7.7</v>
      </c>
      <c r="N231" s="0" t="n">
        <v>10040</v>
      </c>
      <c r="Q231" s="0" t="s">
        <v>33</v>
      </c>
      <c r="R231" s="0" t="n">
        <v>4040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Z231" s="0" t="s">
        <v>34</v>
      </c>
      <c r="AA231" s="0" t="s">
        <v>37</v>
      </c>
      <c r="AB231" s="0" t="n">
        <v>0</v>
      </c>
      <c r="AC231" s="0" t="n">
        <v>0</v>
      </c>
    </row>
    <row r="232" customFormat="false" ht="15" hidden="false" customHeight="false" outlineLevel="0" collapsed="false">
      <c r="A232" s="0" t="n">
        <v>2005</v>
      </c>
      <c r="B232" s="0" t="s">
        <v>42</v>
      </c>
      <c r="C232" s="0" t="s">
        <v>51</v>
      </c>
      <c r="D232" s="0" t="s">
        <v>31</v>
      </c>
      <c r="E232" s="0" t="s">
        <v>32</v>
      </c>
      <c r="H232" s="0" t="n">
        <v>5</v>
      </c>
      <c r="I232" s="0" t="n">
        <v>5</v>
      </c>
      <c r="J232" s="0" t="n">
        <v>0</v>
      </c>
      <c r="K232" s="0" t="n">
        <v>55.44</v>
      </c>
      <c r="L232" s="0" t="n">
        <v>56.87</v>
      </c>
      <c r="M232" s="0" t="n">
        <v>1.43</v>
      </c>
      <c r="N232" s="0" t="n">
        <v>12548</v>
      </c>
      <c r="Q232" s="0" t="s">
        <v>33</v>
      </c>
      <c r="R232" s="0" t="n">
        <v>4040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Z232" s="0" t="s">
        <v>34</v>
      </c>
      <c r="AA232" s="0" t="s">
        <v>37</v>
      </c>
      <c r="AB232" s="0" t="n">
        <v>0</v>
      </c>
      <c r="AC232" s="0" t="n">
        <v>0</v>
      </c>
    </row>
    <row r="233" customFormat="false" ht="15" hidden="false" customHeight="false" outlineLevel="0" collapsed="false">
      <c r="A233" s="0" t="n">
        <v>2012</v>
      </c>
      <c r="B233" s="0" t="s">
        <v>42</v>
      </c>
      <c r="C233" s="0" t="s">
        <v>38</v>
      </c>
      <c r="D233" s="0" t="s">
        <v>31</v>
      </c>
      <c r="E233" s="0" t="s">
        <v>32</v>
      </c>
      <c r="H233" s="0" t="n">
        <v>5</v>
      </c>
      <c r="I233" s="0" t="n">
        <v>5</v>
      </c>
      <c r="J233" s="0" t="n">
        <v>0</v>
      </c>
      <c r="K233" s="0" t="n">
        <v>65.99</v>
      </c>
      <c r="L233" s="0" t="n">
        <v>65.99</v>
      </c>
      <c r="M233" s="0" t="n">
        <v>0</v>
      </c>
      <c r="N233" s="0" t="n">
        <v>12042</v>
      </c>
      <c r="Q233" s="0" t="s">
        <v>33</v>
      </c>
      <c r="R233" s="0" t="n">
        <v>4040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Z233" s="0" t="s">
        <v>34</v>
      </c>
      <c r="AA233" s="0" t="s">
        <v>37</v>
      </c>
      <c r="AB233" s="0" t="n">
        <v>0</v>
      </c>
      <c r="AC233" s="0" t="n">
        <v>0</v>
      </c>
    </row>
    <row r="234" customFormat="false" ht="15" hidden="false" customHeight="false" outlineLevel="0" collapsed="false">
      <c r="A234" s="0" t="n">
        <v>2013</v>
      </c>
      <c r="B234" s="0" t="s">
        <v>29</v>
      </c>
      <c r="C234" s="0" t="s">
        <v>41</v>
      </c>
      <c r="D234" s="0" t="s">
        <v>31</v>
      </c>
      <c r="E234" s="0" t="s">
        <v>32</v>
      </c>
      <c r="H234" s="0" t="n">
        <v>10</v>
      </c>
      <c r="I234" s="0" t="n">
        <v>6</v>
      </c>
      <c r="J234" s="0" t="n">
        <v>-4</v>
      </c>
      <c r="K234" s="0" t="n">
        <v>42.89</v>
      </c>
      <c r="L234" s="0" t="n">
        <v>33.75</v>
      </c>
      <c r="M234" s="0" t="n">
        <v>-9.14</v>
      </c>
      <c r="N234" s="0" t="n">
        <v>32097</v>
      </c>
      <c r="Q234" s="0" t="s">
        <v>33</v>
      </c>
      <c r="R234" s="0" t="n">
        <v>4040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Z234" s="0" t="s">
        <v>33</v>
      </c>
      <c r="AA234" s="0" t="s">
        <v>40</v>
      </c>
      <c r="AB234" s="0" t="n">
        <v>0</v>
      </c>
      <c r="AC234" s="0" t="n">
        <v>0</v>
      </c>
    </row>
    <row r="235" customFormat="false" ht="15" hidden="false" customHeight="false" outlineLevel="0" collapsed="false">
      <c r="A235" s="0" t="n">
        <v>2092</v>
      </c>
      <c r="B235" s="0" t="s">
        <v>29</v>
      </c>
      <c r="C235" s="0" t="s">
        <v>30</v>
      </c>
      <c r="D235" s="0" t="s">
        <v>31</v>
      </c>
      <c r="E235" s="0" t="s">
        <v>32</v>
      </c>
      <c r="H235" s="0" t="n">
        <v>6</v>
      </c>
      <c r="I235" s="0" t="n">
        <v>5</v>
      </c>
      <c r="J235" s="0" t="n">
        <v>-1</v>
      </c>
      <c r="K235" s="0" t="n">
        <v>55.14</v>
      </c>
      <c r="L235" s="0" t="n">
        <v>49.67</v>
      </c>
      <c r="M235" s="0" t="n">
        <v>-5.47</v>
      </c>
      <c r="N235" s="0" t="n">
        <v>19059</v>
      </c>
      <c r="Q235" s="0" t="s">
        <v>33</v>
      </c>
      <c r="R235" s="0" t="n">
        <v>4040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Z235" s="0" t="s">
        <v>33</v>
      </c>
      <c r="AA235" s="0" t="s">
        <v>40</v>
      </c>
      <c r="AB235" s="0" t="n">
        <v>0</v>
      </c>
      <c r="AC235" s="0" t="n">
        <v>0</v>
      </c>
    </row>
    <row r="236" customFormat="false" ht="15" hidden="false" customHeight="false" outlineLevel="0" collapsed="false">
      <c r="A236" s="0" t="n">
        <v>2093</v>
      </c>
      <c r="B236" s="0" t="s">
        <v>29</v>
      </c>
      <c r="C236" s="0" t="s">
        <v>38</v>
      </c>
      <c r="D236" s="0" t="s">
        <v>31</v>
      </c>
      <c r="E236" s="0" t="s">
        <v>32</v>
      </c>
      <c r="H236" s="0" t="n">
        <v>2</v>
      </c>
      <c r="I236" s="0" t="n">
        <v>2</v>
      </c>
      <c r="J236" s="0" t="n">
        <v>0</v>
      </c>
      <c r="K236" s="0" t="n">
        <v>61.38</v>
      </c>
      <c r="L236" s="0" t="n">
        <v>61.38</v>
      </c>
      <c r="M236" s="0" t="n">
        <v>0</v>
      </c>
      <c r="N236" s="0" t="n">
        <v>14544</v>
      </c>
      <c r="Q236" s="0" t="s">
        <v>33</v>
      </c>
      <c r="R236" s="0" t="n">
        <v>4040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Z236" s="0" t="s">
        <v>34</v>
      </c>
      <c r="AA236" s="0" t="s">
        <v>37</v>
      </c>
      <c r="AB236" s="0" t="n">
        <v>0</v>
      </c>
      <c r="AC236" s="0" t="n">
        <v>0</v>
      </c>
    </row>
    <row r="237" customFormat="false" ht="15" hidden="false" customHeight="false" outlineLevel="0" collapsed="false">
      <c r="A237" s="0" t="n">
        <v>2095</v>
      </c>
      <c r="B237" s="0" t="s">
        <v>42</v>
      </c>
      <c r="C237" s="0" t="s">
        <v>47</v>
      </c>
      <c r="D237" s="0" t="s">
        <v>31</v>
      </c>
      <c r="E237" s="0" t="s">
        <v>32</v>
      </c>
      <c r="H237" s="0" t="n">
        <v>1</v>
      </c>
      <c r="I237" s="0" t="n">
        <v>1</v>
      </c>
      <c r="J237" s="0" t="n">
        <v>0</v>
      </c>
      <c r="K237" s="0" t="n">
        <v>68.65</v>
      </c>
      <c r="L237" s="0" t="n">
        <v>62.73</v>
      </c>
      <c r="M237" s="0" t="n">
        <v>-5.92</v>
      </c>
      <c r="N237" s="0" t="n">
        <v>13544</v>
      </c>
      <c r="Q237" s="0" t="s">
        <v>33</v>
      </c>
      <c r="R237" s="0" t="n">
        <v>4040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Z237" s="0" t="s">
        <v>34</v>
      </c>
      <c r="AA237" s="0" t="s">
        <v>37</v>
      </c>
      <c r="AB237" s="0" t="n">
        <v>0</v>
      </c>
      <c r="AC237" s="0" t="n">
        <v>0</v>
      </c>
    </row>
    <row r="238" customFormat="false" ht="15" hidden="false" customHeight="false" outlineLevel="0" collapsed="false">
      <c r="A238" s="0" t="n">
        <v>2101</v>
      </c>
      <c r="B238" s="0" t="s">
        <v>29</v>
      </c>
      <c r="C238" s="0" t="s">
        <v>46</v>
      </c>
      <c r="D238" s="0" t="s">
        <v>31</v>
      </c>
      <c r="E238" s="0" t="s">
        <v>32</v>
      </c>
      <c r="H238" s="0" t="n">
        <v>4</v>
      </c>
      <c r="I238" s="0" t="n">
        <v>2</v>
      </c>
      <c r="J238" s="0" t="n">
        <v>-2</v>
      </c>
      <c r="K238" s="0" t="n">
        <v>55.23</v>
      </c>
      <c r="L238" s="0" t="n">
        <v>42.75</v>
      </c>
      <c r="M238" s="0" t="n">
        <v>-12.48</v>
      </c>
      <c r="N238" s="0" t="n">
        <v>31092</v>
      </c>
      <c r="Q238" s="0" t="s">
        <v>33</v>
      </c>
      <c r="R238" s="0" t="n">
        <v>4040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Z238" s="0" t="s">
        <v>33</v>
      </c>
      <c r="AA238" s="0" t="s">
        <v>40</v>
      </c>
      <c r="AB238" s="0" t="n">
        <v>0</v>
      </c>
      <c r="AC238" s="0" t="n">
        <v>0</v>
      </c>
    </row>
    <row r="239" customFormat="false" ht="15" hidden="false" customHeight="false" outlineLevel="0" collapsed="false">
      <c r="A239" s="0" t="n">
        <v>2103</v>
      </c>
      <c r="B239" s="0" t="s">
        <v>36</v>
      </c>
      <c r="C239" s="0" t="s">
        <v>51</v>
      </c>
      <c r="D239" s="0" t="s">
        <v>31</v>
      </c>
      <c r="E239" s="0" t="s">
        <v>32</v>
      </c>
      <c r="H239" s="0" t="n">
        <v>8</v>
      </c>
      <c r="I239" s="0" t="n">
        <v>5</v>
      </c>
      <c r="J239" s="0" t="n">
        <v>-3</v>
      </c>
      <c r="K239" s="0" t="n">
        <v>48.11</v>
      </c>
      <c r="L239" s="0" t="n">
        <v>49.48</v>
      </c>
      <c r="M239" s="0" t="n">
        <v>1.37</v>
      </c>
      <c r="N239" s="0" t="n">
        <v>17551</v>
      </c>
      <c r="Q239" s="0" t="s">
        <v>33</v>
      </c>
      <c r="R239" s="0" t="n">
        <v>4040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Z239" s="0" t="s">
        <v>34</v>
      </c>
      <c r="AA239" s="0" t="s">
        <v>37</v>
      </c>
      <c r="AB239" s="0" t="n">
        <v>0</v>
      </c>
      <c r="AC239" s="0" t="n">
        <v>0</v>
      </c>
    </row>
    <row r="240" customFormat="false" ht="15" hidden="false" customHeight="false" outlineLevel="0" collapsed="false">
      <c r="A240" s="0" t="n">
        <v>2106</v>
      </c>
      <c r="B240" s="0" t="s">
        <v>29</v>
      </c>
      <c r="C240" s="0" t="s">
        <v>48</v>
      </c>
      <c r="D240" s="0" t="s">
        <v>31</v>
      </c>
      <c r="E240" s="0" t="s">
        <v>32</v>
      </c>
      <c r="H240" s="0" t="n">
        <v>3</v>
      </c>
      <c r="I240" s="0" t="n">
        <v>4</v>
      </c>
      <c r="J240" s="0" t="n">
        <v>1</v>
      </c>
      <c r="K240" s="0" t="n">
        <v>70.12</v>
      </c>
      <c r="L240" s="0" t="n">
        <v>53.92</v>
      </c>
      <c r="M240" s="0" t="n">
        <v>-16.2</v>
      </c>
      <c r="N240" s="0" t="n">
        <v>14550</v>
      </c>
      <c r="Q240" s="0" t="s">
        <v>33</v>
      </c>
      <c r="R240" s="0" t="n">
        <v>4040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Z240" s="0" t="s">
        <v>33</v>
      </c>
      <c r="AA240" s="0" t="s">
        <v>40</v>
      </c>
      <c r="AB240" s="0" t="n">
        <v>0</v>
      </c>
      <c r="AC240" s="0" t="n">
        <v>0</v>
      </c>
    </row>
    <row r="241" customFormat="false" ht="15" hidden="false" customHeight="false" outlineLevel="0" collapsed="false">
      <c r="A241" s="0" t="n">
        <v>2121</v>
      </c>
      <c r="B241" s="0" t="s">
        <v>29</v>
      </c>
      <c r="C241" s="0" t="s">
        <v>48</v>
      </c>
      <c r="D241" s="0" t="s">
        <v>31</v>
      </c>
      <c r="E241" s="0" t="s">
        <v>32</v>
      </c>
      <c r="H241" s="0" t="n">
        <v>4</v>
      </c>
      <c r="I241" s="0" t="n">
        <v>3</v>
      </c>
      <c r="J241" s="0" t="n">
        <v>-1</v>
      </c>
      <c r="K241" s="0" t="n">
        <v>60.56</v>
      </c>
      <c r="L241" s="0" t="n">
        <v>49.24</v>
      </c>
      <c r="M241" s="0" t="n">
        <v>-11.32</v>
      </c>
      <c r="N241" s="0" t="n">
        <v>15049</v>
      </c>
      <c r="Q241" s="0" t="s">
        <v>33</v>
      </c>
      <c r="R241" s="0" t="n">
        <v>4040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Z241" s="0" t="s">
        <v>33</v>
      </c>
      <c r="AA241" s="0" t="s">
        <v>40</v>
      </c>
      <c r="AB241" s="0" t="n">
        <v>0</v>
      </c>
      <c r="AC241" s="0" t="n">
        <v>0</v>
      </c>
    </row>
    <row r="242" customFormat="false" ht="15" hidden="false" customHeight="false" outlineLevel="0" collapsed="false">
      <c r="A242" s="0" t="n">
        <v>2126</v>
      </c>
      <c r="B242" s="0" t="s">
        <v>29</v>
      </c>
      <c r="C242" s="0" t="s">
        <v>46</v>
      </c>
      <c r="D242" s="0" t="s">
        <v>31</v>
      </c>
      <c r="E242" s="0" t="s">
        <v>32</v>
      </c>
      <c r="H242" s="0" t="n">
        <v>5</v>
      </c>
      <c r="I242" s="0" t="n">
        <v>3</v>
      </c>
      <c r="J242" s="0" t="n">
        <v>-2</v>
      </c>
      <c r="K242" s="0" t="n">
        <v>50.29</v>
      </c>
      <c r="L242" s="0" t="n">
        <v>45</v>
      </c>
      <c r="M242" s="0" t="n">
        <v>-5.29</v>
      </c>
      <c r="N242" s="0" t="n">
        <v>22059</v>
      </c>
      <c r="Q242" s="0" t="s">
        <v>33</v>
      </c>
      <c r="R242" s="0" t="n">
        <v>4040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Z242" s="0" t="s">
        <v>34</v>
      </c>
      <c r="AA242" s="0" t="s">
        <v>37</v>
      </c>
      <c r="AB242" s="0" t="n">
        <v>0</v>
      </c>
      <c r="AC242" s="0" t="n">
        <v>0</v>
      </c>
    </row>
    <row r="243" customFormat="false" ht="15" hidden="false" customHeight="false" outlineLevel="0" collapsed="false">
      <c r="A243" s="0" t="n">
        <v>2147</v>
      </c>
      <c r="B243" s="0" t="s">
        <v>42</v>
      </c>
      <c r="C243" s="0" t="s">
        <v>38</v>
      </c>
      <c r="D243" s="0" t="s">
        <v>31</v>
      </c>
      <c r="E243" s="0" t="s">
        <v>32</v>
      </c>
      <c r="H243" s="0" t="n">
        <v>3</v>
      </c>
      <c r="I243" s="0" t="n">
        <v>3</v>
      </c>
      <c r="J243" s="0" t="n">
        <v>0</v>
      </c>
      <c r="K243" s="0" t="n">
        <v>70.55</v>
      </c>
      <c r="L243" s="0" t="n">
        <v>70.55</v>
      </c>
      <c r="M243" s="0" t="n">
        <v>0</v>
      </c>
      <c r="N243" s="0" t="n">
        <v>10042</v>
      </c>
      <c r="Q243" s="0" t="s">
        <v>33</v>
      </c>
      <c r="R243" s="0" t="n">
        <v>4040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Z243" s="0" t="s">
        <v>33</v>
      </c>
      <c r="AA243" s="0" t="s">
        <v>40</v>
      </c>
      <c r="AB243" s="0" t="n">
        <v>0</v>
      </c>
      <c r="AC243" s="0" t="n">
        <v>0</v>
      </c>
    </row>
    <row r="244" customFormat="false" ht="15" hidden="false" customHeight="false" outlineLevel="0" collapsed="false">
      <c r="A244" s="0" t="n">
        <v>2152</v>
      </c>
      <c r="B244" s="0" t="s">
        <v>29</v>
      </c>
      <c r="C244" s="0" t="s">
        <v>52</v>
      </c>
      <c r="D244" s="0" t="s">
        <v>31</v>
      </c>
      <c r="E244" s="0" t="s">
        <v>32</v>
      </c>
      <c r="H244" s="0" t="n">
        <v>8</v>
      </c>
      <c r="I244" s="0" t="n">
        <v>8</v>
      </c>
      <c r="J244" s="0" t="n">
        <v>0</v>
      </c>
      <c r="K244" s="0" t="n">
        <v>46.71</v>
      </c>
      <c r="L244" s="0" t="n">
        <v>46.71</v>
      </c>
      <c r="M244" s="0" t="n">
        <v>0</v>
      </c>
      <c r="N244" s="0" t="n">
        <v>28581</v>
      </c>
      <c r="Q244" s="0" t="s">
        <v>33</v>
      </c>
      <c r="R244" s="0" t="n">
        <v>4040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Z244" s="0" t="s">
        <v>33</v>
      </c>
      <c r="AA244" s="0" t="s">
        <v>40</v>
      </c>
      <c r="AB244" s="0" t="n">
        <v>0</v>
      </c>
      <c r="AC244" s="0" t="n">
        <v>0</v>
      </c>
    </row>
    <row r="245" customFormat="false" ht="15" hidden="false" customHeight="false" outlineLevel="0" collapsed="false">
      <c r="A245" s="0" t="n">
        <v>2155</v>
      </c>
      <c r="B245" s="0" t="s">
        <v>36</v>
      </c>
      <c r="C245" s="0" t="s">
        <v>41</v>
      </c>
      <c r="D245" s="0" t="s">
        <v>31</v>
      </c>
      <c r="E245" s="0" t="s">
        <v>32</v>
      </c>
      <c r="H245" s="0" t="n">
        <v>7</v>
      </c>
      <c r="I245" s="0" t="n">
        <v>9</v>
      </c>
      <c r="J245" s="0" t="n">
        <v>2</v>
      </c>
      <c r="K245" s="0" t="n">
        <v>35.87</v>
      </c>
      <c r="L245" s="0" t="n">
        <v>29.34</v>
      </c>
      <c r="M245" s="0" t="n">
        <v>-6.53</v>
      </c>
      <c r="N245" s="0" t="n">
        <v>35601</v>
      </c>
      <c r="Q245" s="0" t="s">
        <v>33</v>
      </c>
      <c r="R245" s="0" t="n">
        <v>4040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Z245" s="0" t="s">
        <v>33</v>
      </c>
      <c r="AA245" s="0" t="s">
        <v>40</v>
      </c>
      <c r="AB245" s="0" t="n">
        <v>0</v>
      </c>
      <c r="AC245" s="0" t="n">
        <v>0</v>
      </c>
    </row>
    <row r="246" customFormat="false" ht="15" hidden="false" customHeight="false" outlineLevel="0" collapsed="false">
      <c r="A246" s="0" t="n">
        <v>2156</v>
      </c>
      <c r="B246" s="0" t="s">
        <v>42</v>
      </c>
      <c r="C246" s="0" t="s">
        <v>41</v>
      </c>
      <c r="D246" s="0" t="s">
        <v>31</v>
      </c>
      <c r="E246" s="0" t="s">
        <v>32</v>
      </c>
      <c r="H246" s="0" t="n">
        <v>7</v>
      </c>
      <c r="I246" s="0" t="n">
        <v>6</v>
      </c>
      <c r="J246" s="0" t="n">
        <v>-1</v>
      </c>
      <c r="K246" s="0" t="n">
        <v>48.49</v>
      </c>
      <c r="L246" s="0" t="n">
        <v>53.35</v>
      </c>
      <c r="M246" s="0" t="n">
        <v>4.86</v>
      </c>
      <c r="N246" s="0" t="n">
        <v>15549</v>
      </c>
      <c r="Q246" s="0" t="s">
        <v>33</v>
      </c>
      <c r="R246" s="0" t="n">
        <v>4040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Z246" s="0" t="s">
        <v>33</v>
      </c>
      <c r="AA246" s="0" t="s">
        <v>40</v>
      </c>
      <c r="AB246" s="0" t="n">
        <v>0</v>
      </c>
      <c r="AC246" s="0" t="n">
        <v>0</v>
      </c>
    </row>
    <row r="247" customFormat="false" ht="15" hidden="false" customHeight="false" outlineLevel="0" collapsed="false">
      <c r="A247" s="0" t="n">
        <v>2157</v>
      </c>
      <c r="B247" s="0" t="s">
        <v>29</v>
      </c>
      <c r="C247" s="0" t="s">
        <v>39</v>
      </c>
      <c r="D247" s="0" t="s">
        <v>31</v>
      </c>
      <c r="E247" s="0" t="s">
        <v>32</v>
      </c>
      <c r="H247" s="0" t="n">
        <v>4</v>
      </c>
      <c r="I247" s="0" t="n">
        <v>4</v>
      </c>
      <c r="J247" s="0" t="n">
        <v>0</v>
      </c>
      <c r="K247" s="0" t="n">
        <v>66.27</v>
      </c>
      <c r="L247" s="0" t="n">
        <v>60.81</v>
      </c>
      <c r="M247" s="0" t="n">
        <v>-5.46</v>
      </c>
      <c r="N247" s="0" t="n">
        <v>12545</v>
      </c>
      <c r="Q247" s="0" t="s">
        <v>33</v>
      </c>
      <c r="R247" s="0" t="n">
        <v>4040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Z247" s="0" t="s">
        <v>34</v>
      </c>
      <c r="AA247" s="0" t="s">
        <v>37</v>
      </c>
      <c r="AB247" s="0" t="n">
        <v>0</v>
      </c>
      <c r="AC247" s="0" t="n">
        <v>0</v>
      </c>
    </row>
    <row r="248" customFormat="false" ht="15" hidden="false" customHeight="false" outlineLevel="0" collapsed="false">
      <c r="A248" s="0" t="n">
        <v>2162</v>
      </c>
      <c r="B248" s="0" t="s">
        <v>29</v>
      </c>
      <c r="C248" s="0" t="s">
        <v>30</v>
      </c>
      <c r="D248" s="0" t="s">
        <v>31</v>
      </c>
      <c r="E248" s="0" t="s">
        <v>32</v>
      </c>
      <c r="H248" s="0" t="n">
        <v>4</v>
      </c>
      <c r="I248" s="0" t="n">
        <v>4</v>
      </c>
      <c r="J248" s="0" t="n">
        <v>0</v>
      </c>
      <c r="K248" s="0" t="n">
        <v>60.23</v>
      </c>
      <c r="L248" s="0" t="n">
        <v>54.54</v>
      </c>
      <c r="M248" s="0" t="n">
        <v>-5.69</v>
      </c>
      <c r="N248" s="0" t="n">
        <v>15548</v>
      </c>
      <c r="Q248" s="0" t="s">
        <v>33</v>
      </c>
      <c r="R248" s="0" t="n">
        <v>4040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Z248" s="0" t="s">
        <v>34</v>
      </c>
      <c r="AA248" s="0" t="s">
        <v>37</v>
      </c>
      <c r="AB248" s="0" t="n">
        <v>0</v>
      </c>
      <c r="AC248" s="0" t="n">
        <v>0</v>
      </c>
    </row>
    <row r="249" customFormat="false" ht="15" hidden="false" customHeight="false" outlineLevel="0" collapsed="false">
      <c r="A249" s="0" t="n">
        <v>2164</v>
      </c>
      <c r="B249" s="0" t="s">
        <v>36</v>
      </c>
      <c r="C249" s="0" t="s">
        <v>39</v>
      </c>
      <c r="D249" s="0" t="s">
        <v>31</v>
      </c>
      <c r="E249" s="0" t="s">
        <v>32</v>
      </c>
      <c r="H249" s="0" t="n">
        <v>2</v>
      </c>
      <c r="I249" s="0" t="n">
        <v>2</v>
      </c>
      <c r="J249" s="0" t="n">
        <v>0</v>
      </c>
      <c r="K249" s="0" t="n">
        <v>76.04</v>
      </c>
      <c r="L249" s="0" t="n">
        <v>68.51</v>
      </c>
      <c r="M249" s="0" t="n">
        <v>-7.53</v>
      </c>
      <c r="N249" s="0" t="n">
        <v>10037</v>
      </c>
      <c r="Q249" s="0" t="s">
        <v>33</v>
      </c>
      <c r="R249" s="0" t="n">
        <v>4040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Z249" s="0" t="s">
        <v>34</v>
      </c>
      <c r="AA249" s="0" t="s">
        <v>37</v>
      </c>
      <c r="AB249" s="0" t="n">
        <v>0</v>
      </c>
      <c r="AC249" s="0" t="n">
        <v>0</v>
      </c>
    </row>
    <row r="250" customFormat="false" ht="15" hidden="false" customHeight="false" outlineLevel="0" collapsed="false">
      <c r="A250" s="0" t="n">
        <v>2174</v>
      </c>
      <c r="B250" s="0" t="s">
        <v>29</v>
      </c>
      <c r="C250" s="0" t="s">
        <v>38</v>
      </c>
      <c r="D250" s="0" t="s">
        <v>31</v>
      </c>
      <c r="E250" s="0" t="s">
        <v>32</v>
      </c>
      <c r="H250" s="0" t="n">
        <v>4</v>
      </c>
      <c r="I250" s="0" t="n">
        <v>4</v>
      </c>
      <c r="J250" s="0" t="n">
        <v>0</v>
      </c>
      <c r="K250" s="0" t="n">
        <v>51.29</v>
      </c>
      <c r="L250" s="0" t="n">
        <v>51.29</v>
      </c>
      <c r="M250" s="0" t="n">
        <v>0</v>
      </c>
      <c r="N250" s="0" t="n">
        <v>15060</v>
      </c>
      <c r="Q250" s="0" t="s">
        <v>33</v>
      </c>
      <c r="R250" s="0" t="n">
        <v>4040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Z250" s="0" t="s">
        <v>34</v>
      </c>
      <c r="AA250" s="0" t="s">
        <v>37</v>
      </c>
      <c r="AB250" s="0" t="n">
        <v>0</v>
      </c>
      <c r="AC250" s="0" t="n">
        <v>0</v>
      </c>
    </row>
    <row r="251" customFormat="false" ht="15" hidden="false" customHeight="false" outlineLevel="0" collapsed="false">
      <c r="A251" s="0" t="n">
        <v>2175</v>
      </c>
      <c r="B251" s="0" t="s">
        <v>42</v>
      </c>
      <c r="C251" s="0" t="s">
        <v>41</v>
      </c>
      <c r="D251" s="0" t="s">
        <v>31</v>
      </c>
      <c r="E251" s="0" t="s">
        <v>32</v>
      </c>
      <c r="H251" s="0" t="n">
        <v>9</v>
      </c>
      <c r="I251" s="0" t="n">
        <v>18</v>
      </c>
      <c r="J251" s="0" t="n">
        <v>9</v>
      </c>
      <c r="K251" s="0" t="n">
        <v>38.81</v>
      </c>
      <c r="L251" s="0" t="n">
        <v>20.09</v>
      </c>
      <c r="M251" s="0" t="n">
        <v>-18.72</v>
      </c>
      <c r="N251" s="0" t="n">
        <v>39098</v>
      </c>
      <c r="Q251" s="0" t="s">
        <v>33</v>
      </c>
      <c r="R251" s="0" t="n">
        <v>4040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Z251" s="0" t="s">
        <v>34</v>
      </c>
      <c r="AA251" s="0" t="s">
        <v>37</v>
      </c>
      <c r="AB251" s="0" t="n">
        <v>0</v>
      </c>
      <c r="AC251" s="0" t="n">
        <v>0</v>
      </c>
    </row>
    <row r="252" customFormat="false" ht="15" hidden="false" customHeight="false" outlineLevel="0" collapsed="false">
      <c r="A252" s="0" t="n">
        <v>2193</v>
      </c>
      <c r="B252" s="0" t="s">
        <v>42</v>
      </c>
      <c r="C252" s="0" t="s">
        <v>41</v>
      </c>
      <c r="D252" s="0" t="s">
        <v>31</v>
      </c>
      <c r="E252" s="0" t="s">
        <v>32</v>
      </c>
      <c r="H252" s="0" t="n">
        <v>4</v>
      </c>
      <c r="I252" s="0" t="n">
        <v>3</v>
      </c>
      <c r="J252" s="0" t="n">
        <v>-1</v>
      </c>
      <c r="K252" s="0" t="n">
        <v>65.61</v>
      </c>
      <c r="L252" s="0" t="n">
        <v>68.01</v>
      </c>
      <c r="M252" s="0" t="n">
        <v>2.4</v>
      </c>
      <c r="N252" s="0" t="n">
        <v>9038</v>
      </c>
      <c r="Q252" s="0" t="s">
        <v>33</v>
      </c>
      <c r="R252" s="0" t="n">
        <v>4024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Z252" s="0" t="s">
        <v>33</v>
      </c>
      <c r="AA252" s="0" t="s">
        <v>40</v>
      </c>
      <c r="AB252" s="0" t="n">
        <v>0</v>
      </c>
      <c r="AC252" s="0" t="n">
        <v>0</v>
      </c>
    </row>
    <row r="253" customFormat="false" ht="15" hidden="false" customHeight="false" outlineLevel="0" collapsed="false">
      <c r="A253" s="0" t="n">
        <v>2194</v>
      </c>
      <c r="B253" s="0" t="s">
        <v>29</v>
      </c>
      <c r="C253" s="0" t="s">
        <v>46</v>
      </c>
      <c r="D253" s="0" t="s">
        <v>31</v>
      </c>
      <c r="E253" s="0" t="s">
        <v>32</v>
      </c>
      <c r="H253" s="0" t="n">
        <v>3</v>
      </c>
      <c r="I253" s="0" t="n">
        <v>4</v>
      </c>
      <c r="J253" s="0" t="n">
        <v>1</v>
      </c>
      <c r="K253" s="0" t="n">
        <v>59.8</v>
      </c>
      <c r="L253" s="0" t="n">
        <v>56.61</v>
      </c>
      <c r="M253" s="0" t="n">
        <v>-3.19</v>
      </c>
      <c r="N253" s="0" t="n">
        <v>17058</v>
      </c>
      <c r="Q253" s="0" t="s">
        <v>33</v>
      </c>
      <c r="R253" s="0" t="n">
        <v>4024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Z253" s="0" t="s">
        <v>34</v>
      </c>
      <c r="AA253" s="0" t="s">
        <v>37</v>
      </c>
      <c r="AB253" s="0" t="n">
        <v>0</v>
      </c>
      <c r="AC253" s="0" t="n">
        <v>0</v>
      </c>
    </row>
    <row r="254" customFormat="false" ht="15" hidden="false" customHeight="false" outlineLevel="0" collapsed="false">
      <c r="A254" s="0" t="n">
        <v>2202</v>
      </c>
      <c r="B254" s="0" t="s">
        <v>29</v>
      </c>
      <c r="C254" s="0" t="s">
        <v>52</v>
      </c>
      <c r="D254" s="0" t="s">
        <v>31</v>
      </c>
      <c r="E254" s="0" t="s">
        <v>32</v>
      </c>
      <c r="H254" s="0" t="n">
        <v>3</v>
      </c>
      <c r="I254" s="0" t="n">
        <v>3</v>
      </c>
      <c r="J254" s="0" t="n">
        <v>0</v>
      </c>
      <c r="K254" s="0" t="n">
        <v>55.86</v>
      </c>
      <c r="L254" s="0" t="n">
        <v>54.32</v>
      </c>
      <c r="M254" s="0" t="n">
        <v>-1.54</v>
      </c>
      <c r="N254" s="0" t="n">
        <v>17559</v>
      </c>
      <c r="Q254" s="0" t="s">
        <v>33</v>
      </c>
      <c r="R254" s="0" t="n">
        <v>4024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Z254" s="0" t="s">
        <v>34</v>
      </c>
      <c r="AA254" s="0" t="s">
        <v>37</v>
      </c>
      <c r="AB254" s="0" t="n">
        <v>0</v>
      </c>
      <c r="AC254" s="0" t="n">
        <v>0</v>
      </c>
    </row>
    <row r="255" customFormat="false" ht="15" hidden="false" customHeight="false" outlineLevel="0" collapsed="false">
      <c r="A255" s="0" t="n">
        <v>2207</v>
      </c>
      <c r="B255" s="0" t="s">
        <v>42</v>
      </c>
      <c r="C255" s="0" t="s">
        <v>30</v>
      </c>
      <c r="D255" s="0" t="s">
        <v>31</v>
      </c>
      <c r="E255" s="0" t="s">
        <v>32</v>
      </c>
      <c r="H255" s="0" t="n">
        <v>5</v>
      </c>
      <c r="I255" s="0" t="n">
        <v>5</v>
      </c>
      <c r="J255" s="0" t="n">
        <v>0</v>
      </c>
      <c r="K255" s="0" t="n">
        <v>64.25</v>
      </c>
      <c r="L255" s="0" t="n">
        <v>58.96</v>
      </c>
      <c r="M255" s="0" t="n">
        <v>-5.29</v>
      </c>
      <c r="N255" s="0" t="n">
        <v>11538</v>
      </c>
      <c r="Q255" s="0" t="s">
        <v>33</v>
      </c>
      <c r="R255" s="0" t="n">
        <v>4026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Z255" s="0" t="s">
        <v>34</v>
      </c>
      <c r="AA255" s="0" t="s">
        <v>37</v>
      </c>
      <c r="AB255" s="0" t="n">
        <v>0</v>
      </c>
      <c r="AC255" s="0" t="n">
        <v>0</v>
      </c>
    </row>
    <row r="256" customFormat="false" ht="15" hidden="false" customHeight="false" outlineLevel="0" collapsed="false">
      <c r="A256" s="0" t="n">
        <v>2213</v>
      </c>
      <c r="B256" s="0" t="s">
        <v>29</v>
      </c>
      <c r="C256" s="0" t="s">
        <v>51</v>
      </c>
      <c r="D256" s="0" t="s">
        <v>31</v>
      </c>
      <c r="E256" s="0" t="s">
        <v>32</v>
      </c>
      <c r="H256" s="0" t="n">
        <v>7</v>
      </c>
      <c r="I256" s="0" t="n">
        <v>5</v>
      </c>
      <c r="J256" s="0" t="n">
        <v>-2</v>
      </c>
      <c r="K256" s="0" t="n">
        <v>38.59</v>
      </c>
      <c r="L256" s="0" t="n">
        <v>38.5</v>
      </c>
      <c r="M256" s="0" t="n">
        <v>-0.09</v>
      </c>
      <c r="N256" s="0" t="n">
        <v>26585</v>
      </c>
      <c r="Q256" s="0" t="s">
        <v>33</v>
      </c>
      <c r="R256" s="0" t="n">
        <v>4034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Z256" s="0" t="s">
        <v>33</v>
      </c>
      <c r="AA256" s="0" t="s">
        <v>40</v>
      </c>
      <c r="AB256" s="0" t="n">
        <v>0</v>
      </c>
      <c r="AC256" s="0" t="n">
        <v>0</v>
      </c>
    </row>
    <row r="257" customFormat="false" ht="15" hidden="false" customHeight="false" outlineLevel="0" collapsed="false">
      <c r="A257" s="0" t="n">
        <v>2216</v>
      </c>
      <c r="B257" s="0" t="s">
        <v>29</v>
      </c>
      <c r="C257" s="0" t="s">
        <v>46</v>
      </c>
      <c r="D257" s="0" t="s">
        <v>31</v>
      </c>
      <c r="E257" s="0" t="s">
        <v>32</v>
      </c>
      <c r="H257" s="0" t="n">
        <v>6</v>
      </c>
      <c r="I257" s="0" t="n">
        <v>6</v>
      </c>
      <c r="J257" s="0" t="n">
        <v>0</v>
      </c>
      <c r="K257" s="0" t="n">
        <v>41.64</v>
      </c>
      <c r="L257" s="0" t="n">
        <v>39.93</v>
      </c>
      <c r="M257" s="0" t="n">
        <v>-1.71</v>
      </c>
      <c r="N257" s="0" t="n">
        <v>22064</v>
      </c>
      <c r="Q257" s="0" t="s">
        <v>33</v>
      </c>
      <c r="R257" s="0" t="n">
        <v>4034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Z257" s="0" t="s">
        <v>33</v>
      </c>
      <c r="AA257" s="0" t="s">
        <v>40</v>
      </c>
      <c r="AB257" s="0" t="n">
        <v>0</v>
      </c>
      <c r="AC257" s="0" t="n">
        <v>0</v>
      </c>
    </row>
    <row r="258" customFormat="false" ht="15" hidden="false" customHeight="false" outlineLevel="0" collapsed="false">
      <c r="A258" s="0" t="n">
        <v>2227</v>
      </c>
      <c r="B258" s="0" t="s">
        <v>29</v>
      </c>
      <c r="C258" s="0" t="s">
        <v>46</v>
      </c>
      <c r="D258" s="0" t="s">
        <v>31</v>
      </c>
      <c r="E258" s="0" t="s">
        <v>32</v>
      </c>
      <c r="H258" s="0" t="n">
        <v>6</v>
      </c>
      <c r="I258" s="0" t="n">
        <v>11</v>
      </c>
      <c r="J258" s="0" t="n">
        <v>5</v>
      </c>
      <c r="K258" s="0" t="n">
        <v>34.51</v>
      </c>
      <c r="L258" s="0" t="n">
        <v>28.86</v>
      </c>
      <c r="M258" s="0" t="n">
        <v>-5.65</v>
      </c>
      <c r="N258" s="0" t="n">
        <v>36606</v>
      </c>
      <c r="Q258" s="0" t="s">
        <v>33</v>
      </c>
      <c r="R258" s="0" t="n">
        <v>4034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Z258" s="0" t="s">
        <v>34</v>
      </c>
      <c r="AA258" s="0" t="s">
        <v>37</v>
      </c>
      <c r="AB258" s="0" t="n">
        <v>0</v>
      </c>
      <c r="AC258" s="0" t="n">
        <v>0</v>
      </c>
    </row>
    <row r="259" customFormat="false" ht="15" hidden="false" customHeight="false" outlineLevel="0" collapsed="false">
      <c r="A259" s="0" t="n">
        <v>2231</v>
      </c>
      <c r="B259" s="0" t="s">
        <v>42</v>
      </c>
      <c r="C259" s="0" t="s">
        <v>38</v>
      </c>
      <c r="D259" s="0" t="s">
        <v>31</v>
      </c>
      <c r="E259" s="0" t="s">
        <v>32</v>
      </c>
      <c r="H259" s="0" t="n">
        <v>2</v>
      </c>
      <c r="I259" s="0" t="n">
        <v>2</v>
      </c>
      <c r="J259" s="0" t="n">
        <v>0</v>
      </c>
      <c r="K259" s="0" t="n">
        <v>87.92</v>
      </c>
      <c r="L259" s="0" t="n">
        <v>87.92</v>
      </c>
      <c r="M259" s="0" t="n">
        <v>0</v>
      </c>
      <c r="N259" s="0" t="n">
        <v>6023</v>
      </c>
      <c r="Q259" s="0" t="s">
        <v>33</v>
      </c>
      <c r="R259" s="0" t="n">
        <v>4034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Z259" s="0" t="s">
        <v>34</v>
      </c>
      <c r="AA259" s="0" t="s">
        <v>37</v>
      </c>
      <c r="AB259" s="0" t="n">
        <v>0</v>
      </c>
      <c r="AC259" s="0" t="n">
        <v>0</v>
      </c>
    </row>
    <row r="260" customFormat="false" ht="15" hidden="false" customHeight="false" outlineLevel="0" collapsed="false">
      <c r="A260" s="0" t="n">
        <v>2238</v>
      </c>
      <c r="B260" s="0" t="s">
        <v>36</v>
      </c>
      <c r="C260" s="0" t="s">
        <v>30</v>
      </c>
      <c r="D260" s="0" t="s">
        <v>31</v>
      </c>
      <c r="E260" s="0" t="s">
        <v>32</v>
      </c>
      <c r="H260" s="0" t="n">
        <v>7</v>
      </c>
      <c r="I260" s="0" t="n">
        <v>7</v>
      </c>
      <c r="J260" s="0" t="n">
        <v>0</v>
      </c>
      <c r="K260" s="0" t="n">
        <v>46.51</v>
      </c>
      <c r="L260" s="0" t="n">
        <v>42.61</v>
      </c>
      <c r="M260" s="0" t="n">
        <v>-3.9</v>
      </c>
      <c r="N260" s="0" t="n">
        <v>21567</v>
      </c>
      <c r="Q260" s="0" t="s">
        <v>33</v>
      </c>
      <c r="R260" s="0" t="n">
        <v>4034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Z260" s="0" t="s">
        <v>33</v>
      </c>
      <c r="AA260" s="0" t="s">
        <v>40</v>
      </c>
      <c r="AB260" s="0" t="n">
        <v>0</v>
      </c>
      <c r="AC260" s="0" t="n">
        <v>0</v>
      </c>
    </row>
    <row r="261" customFormat="false" ht="15" hidden="false" customHeight="false" outlineLevel="0" collapsed="false">
      <c r="A261" s="0" t="n">
        <v>2253</v>
      </c>
      <c r="B261" s="0" t="s">
        <v>29</v>
      </c>
      <c r="C261" s="0" t="s">
        <v>48</v>
      </c>
      <c r="D261" s="0" t="s">
        <v>31</v>
      </c>
      <c r="E261" s="0" t="s">
        <v>32</v>
      </c>
      <c r="H261" s="0" t="n">
        <v>2</v>
      </c>
      <c r="I261" s="0" t="n">
        <v>1</v>
      </c>
      <c r="J261" s="0" t="n">
        <v>-1</v>
      </c>
      <c r="K261" s="0" t="n">
        <v>87.52</v>
      </c>
      <c r="L261" s="0" t="n">
        <v>99.82</v>
      </c>
      <c r="M261" s="0" t="n">
        <v>12.3</v>
      </c>
      <c r="N261" s="0" t="n">
        <v>5029</v>
      </c>
      <c r="Q261" s="0" t="s">
        <v>33</v>
      </c>
      <c r="R261" s="0" t="n">
        <v>4034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Z261" s="0" t="s">
        <v>33</v>
      </c>
      <c r="AA261" s="0" t="s">
        <v>40</v>
      </c>
      <c r="AB261" s="0" t="n">
        <v>0</v>
      </c>
      <c r="AC261" s="0" t="n">
        <v>0</v>
      </c>
    </row>
    <row r="262" customFormat="false" ht="15" hidden="false" customHeight="false" outlineLevel="0" collapsed="false">
      <c r="A262" s="0" t="n">
        <v>2259</v>
      </c>
      <c r="B262" s="0" t="s">
        <v>42</v>
      </c>
      <c r="C262" s="0" t="s">
        <v>41</v>
      </c>
      <c r="D262" s="0" t="s">
        <v>31</v>
      </c>
      <c r="E262" s="0" t="s">
        <v>32</v>
      </c>
      <c r="H262" s="0" t="n">
        <v>8</v>
      </c>
      <c r="I262" s="0" t="n">
        <v>6</v>
      </c>
      <c r="J262" s="0" t="n">
        <v>-2</v>
      </c>
      <c r="K262" s="0" t="n">
        <v>51.43</v>
      </c>
      <c r="L262" s="0" t="n">
        <v>58.56</v>
      </c>
      <c r="M262" s="0" t="n">
        <v>7.13</v>
      </c>
      <c r="N262" s="0" t="n">
        <v>14048</v>
      </c>
      <c r="Q262" s="0" t="s">
        <v>33</v>
      </c>
      <c r="R262" s="0" t="n">
        <v>4034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Z262" s="0" t="s">
        <v>34</v>
      </c>
      <c r="AA262" s="0" t="s">
        <v>37</v>
      </c>
      <c r="AB262" s="0" t="n">
        <v>0</v>
      </c>
      <c r="AC262" s="0" t="n">
        <v>0</v>
      </c>
    </row>
    <row r="263" customFormat="false" ht="15" hidden="false" customHeight="false" outlineLevel="0" collapsed="false">
      <c r="A263" s="0" t="n">
        <v>2272</v>
      </c>
      <c r="B263" s="0" t="s">
        <v>42</v>
      </c>
      <c r="C263" s="0" t="s">
        <v>52</v>
      </c>
      <c r="D263" s="0" t="s">
        <v>31</v>
      </c>
      <c r="E263" s="0" t="s">
        <v>32</v>
      </c>
      <c r="H263" s="0" t="n">
        <v>8</v>
      </c>
      <c r="I263" s="0" t="n">
        <v>8</v>
      </c>
      <c r="J263" s="0" t="n">
        <v>0</v>
      </c>
      <c r="K263" s="0" t="n">
        <v>58.91</v>
      </c>
      <c r="L263" s="0" t="n">
        <v>56.58</v>
      </c>
      <c r="M263" s="0" t="n">
        <v>-2.33</v>
      </c>
      <c r="N263" s="0" t="n">
        <v>16069</v>
      </c>
      <c r="Q263" s="0" t="s">
        <v>33</v>
      </c>
      <c r="R263" s="0" t="n">
        <v>4034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Z263" s="0" t="s">
        <v>34</v>
      </c>
      <c r="AA263" s="0" t="s">
        <v>37</v>
      </c>
      <c r="AB263" s="0" t="n">
        <v>0</v>
      </c>
      <c r="AC263" s="0" t="n">
        <v>0</v>
      </c>
    </row>
    <row r="264" customFormat="false" ht="15" hidden="false" customHeight="false" outlineLevel="0" collapsed="false">
      <c r="A264" s="0" t="n">
        <v>2279</v>
      </c>
      <c r="B264" s="0" t="s">
        <v>36</v>
      </c>
      <c r="C264" s="0" t="s">
        <v>46</v>
      </c>
      <c r="D264" s="0" t="s">
        <v>31</v>
      </c>
      <c r="E264" s="0" t="s">
        <v>32</v>
      </c>
      <c r="H264" s="0" t="n">
        <v>6</v>
      </c>
      <c r="I264" s="0" t="n">
        <v>6</v>
      </c>
      <c r="J264" s="0" t="n">
        <v>0</v>
      </c>
      <c r="K264" s="0" t="n">
        <v>34.68</v>
      </c>
      <c r="L264" s="0" t="n">
        <v>34.68</v>
      </c>
      <c r="M264" s="0" t="n">
        <v>0</v>
      </c>
      <c r="N264" s="0" t="n">
        <v>40104</v>
      </c>
      <c r="Q264" s="0" t="s">
        <v>33</v>
      </c>
      <c r="R264" s="0" t="n">
        <v>4040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Z264" s="0" t="s">
        <v>34</v>
      </c>
      <c r="AA264" s="0" t="s">
        <v>37</v>
      </c>
      <c r="AB264" s="0" t="n">
        <v>0</v>
      </c>
      <c r="AC264" s="0" t="n">
        <v>0</v>
      </c>
    </row>
    <row r="265" customFormat="false" ht="15" hidden="false" customHeight="false" outlineLevel="0" collapsed="false">
      <c r="A265" s="0" t="n">
        <v>2284</v>
      </c>
      <c r="B265" s="0" t="s">
        <v>29</v>
      </c>
      <c r="C265" s="0" t="s">
        <v>48</v>
      </c>
      <c r="D265" s="0" t="s">
        <v>31</v>
      </c>
      <c r="E265" s="0" t="s">
        <v>32</v>
      </c>
      <c r="H265" s="0" t="n">
        <v>2</v>
      </c>
      <c r="I265" s="0" t="n">
        <v>1</v>
      </c>
      <c r="J265" s="0" t="n">
        <v>-1</v>
      </c>
      <c r="K265" s="0" t="n">
        <v>64.61</v>
      </c>
      <c r="L265" s="0" t="n">
        <v>58.73</v>
      </c>
      <c r="M265" s="0" t="n">
        <v>-5.88</v>
      </c>
      <c r="N265" s="0" t="n">
        <v>14048</v>
      </c>
      <c r="Q265" s="0" t="s">
        <v>33</v>
      </c>
      <c r="R265" s="0" t="n">
        <v>4040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Z265" s="0" t="s">
        <v>33</v>
      </c>
      <c r="AA265" s="0" t="s">
        <v>40</v>
      </c>
      <c r="AB265" s="0" t="n">
        <v>0</v>
      </c>
      <c r="AC265" s="0" t="n">
        <v>0</v>
      </c>
    </row>
    <row r="266" customFormat="false" ht="15" hidden="false" customHeight="false" outlineLevel="0" collapsed="false">
      <c r="A266" s="0" t="n">
        <v>2288</v>
      </c>
      <c r="B266" s="0" t="s">
        <v>29</v>
      </c>
      <c r="C266" s="0" t="s">
        <v>38</v>
      </c>
      <c r="D266" s="0" t="s">
        <v>31</v>
      </c>
      <c r="E266" s="0" t="s">
        <v>32</v>
      </c>
      <c r="H266" s="0" t="n">
        <v>3</v>
      </c>
      <c r="I266" s="0" t="n">
        <v>3</v>
      </c>
      <c r="J266" s="0" t="n">
        <v>0</v>
      </c>
      <c r="K266" s="0" t="n">
        <v>65.14</v>
      </c>
      <c r="L266" s="0" t="n">
        <v>65.14</v>
      </c>
      <c r="M266" s="0" t="n">
        <v>0</v>
      </c>
      <c r="N266" s="0" t="n">
        <v>12047</v>
      </c>
      <c r="Q266" s="0" t="s">
        <v>33</v>
      </c>
      <c r="R266" s="0" t="n">
        <v>4040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Z266" s="0" t="s">
        <v>34</v>
      </c>
      <c r="AA266" s="0" t="s">
        <v>37</v>
      </c>
      <c r="AB266" s="0" t="n">
        <v>0</v>
      </c>
      <c r="AC266" s="0" t="n">
        <v>0</v>
      </c>
    </row>
    <row r="267" customFormat="false" ht="15" hidden="false" customHeight="false" outlineLevel="0" collapsed="false">
      <c r="A267" s="0" t="n">
        <v>2293</v>
      </c>
      <c r="B267" s="0" t="s">
        <v>29</v>
      </c>
      <c r="C267" s="0" t="s">
        <v>41</v>
      </c>
      <c r="D267" s="0" t="s">
        <v>31</v>
      </c>
      <c r="E267" s="0" t="s">
        <v>32</v>
      </c>
      <c r="H267" s="0" t="n">
        <v>5</v>
      </c>
      <c r="I267" s="0" t="n">
        <v>4</v>
      </c>
      <c r="J267" s="0" t="n">
        <v>-1</v>
      </c>
      <c r="K267" s="0" t="n">
        <v>71.15</v>
      </c>
      <c r="L267" s="0" t="n">
        <v>75.77</v>
      </c>
      <c r="M267" s="0" t="n">
        <v>4.62</v>
      </c>
      <c r="N267" s="0" t="n">
        <v>10039</v>
      </c>
      <c r="Q267" s="0" t="s">
        <v>33</v>
      </c>
      <c r="R267" s="0" t="n">
        <v>4040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Z267" s="0" t="s">
        <v>34</v>
      </c>
      <c r="AA267" s="0" t="s">
        <v>37</v>
      </c>
      <c r="AB267" s="0" t="n">
        <v>0</v>
      </c>
      <c r="AC267" s="0" t="n">
        <v>0</v>
      </c>
    </row>
    <row r="268" customFormat="false" ht="15" hidden="false" customHeight="false" outlineLevel="0" collapsed="false">
      <c r="A268" s="0" t="n">
        <v>2299</v>
      </c>
      <c r="B268" s="0" t="s">
        <v>36</v>
      </c>
      <c r="C268" s="0" t="s">
        <v>30</v>
      </c>
      <c r="D268" s="0" t="s">
        <v>31</v>
      </c>
      <c r="E268" s="0" t="s">
        <v>32</v>
      </c>
      <c r="H268" s="0" t="n">
        <v>8</v>
      </c>
      <c r="I268" s="0" t="n">
        <v>8</v>
      </c>
      <c r="J268" s="0" t="n">
        <v>0</v>
      </c>
      <c r="K268" s="0" t="n">
        <v>50.12</v>
      </c>
      <c r="L268" s="0" t="n">
        <v>46.65</v>
      </c>
      <c r="M268" s="0" t="n">
        <v>-3.47</v>
      </c>
      <c r="N268" s="0" t="n">
        <v>19057</v>
      </c>
      <c r="Q268" s="0" t="s">
        <v>33</v>
      </c>
      <c r="R268" s="0" t="n">
        <v>4040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Z268" s="0" t="s">
        <v>33</v>
      </c>
      <c r="AA268" s="0" t="s">
        <v>40</v>
      </c>
      <c r="AB268" s="0" t="n">
        <v>0</v>
      </c>
      <c r="AC268" s="0" t="n">
        <v>0</v>
      </c>
    </row>
    <row r="269" customFormat="false" ht="15" hidden="false" customHeight="false" outlineLevel="0" collapsed="false">
      <c r="A269" s="0" t="n">
        <v>2305</v>
      </c>
      <c r="B269" s="0" t="s">
        <v>42</v>
      </c>
      <c r="C269" s="0" t="s">
        <v>41</v>
      </c>
      <c r="D269" s="0" t="s">
        <v>31</v>
      </c>
      <c r="E269" s="0" t="s">
        <v>32</v>
      </c>
      <c r="H269" s="0" t="n">
        <v>3</v>
      </c>
      <c r="I269" s="0" t="n">
        <v>2</v>
      </c>
      <c r="J269" s="0" t="n">
        <v>-1</v>
      </c>
      <c r="K269" s="0" t="n">
        <v>66.96</v>
      </c>
      <c r="L269" s="0" t="n">
        <v>71.99</v>
      </c>
      <c r="M269" s="0" t="n">
        <v>5.03</v>
      </c>
      <c r="N269" s="0" t="n">
        <v>10537</v>
      </c>
      <c r="Q269" s="0" t="s">
        <v>33</v>
      </c>
      <c r="R269" s="0" t="n">
        <v>4040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Z269" s="0" t="s">
        <v>34</v>
      </c>
      <c r="AA269" s="0" t="s">
        <v>37</v>
      </c>
      <c r="AB269" s="0" t="n">
        <v>0</v>
      </c>
      <c r="AC269" s="0" t="n">
        <v>0</v>
      </c>
    </row>
    <row r="270" customFormat="false" ht="15" hidden="false" customHeight="false" outlineLevel="0" collapsed="false">
      <c r="A270" s="0" t="n">
        <v>2308</v>
      </c>
      <c r="B270" s="0" t="s">
        <v>36</v>
      </c>
      <c r="C270" s="0" t="s">
        <v>46</v>
      </c>
      <c r="D270" s="0" t="s">
        <v>31</v>
      </c>
      <c r="E270" s="0" t="s">
        <v>32</v>
      </c>
      <c r="H270" s="0" t="n">
        <v>7</v>
      </c>
      <c r="I270" s="0" t="n">
        <v>5</v>
      </c>
      <c r="J270" s="0" t="n">
        <v>-2</v>
      </c>
      <c r="K270" s="0" t="n">
        <v>42.57</v>
      </c>
      <c r="L270" s="0" t="n">
        <v>38.3</v>
      </c>
      <c r="M270" s="0" t="n">
        <v>-4.27</v>
      </c>
      <c r="N270" s="0" t="n">
        <v>30585</v>
      </c>
      <c r="Q270" s="0" t="s">
        <v>33</v>
      </c>
      <c r="R270" s="0" t="n">
        <v>4040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Z270" s="0" t="s">
        <v>33</v>
      </c>
      <c r="AA270" s="0" t="s">
        <v>40</v>
      </c>
      <c r="AB270" s="0" t="n">
        <v>0</v>
      </c>
      <c r="AC270" s="0" t="n">
        <v>0</v>
      </c>
    </row>
    <row r="271" customFormat="false" ht="15" hidden="false" customHeight="false" outlineLevel="0" collapsed="false">
      <c r="A271" s="0" t="n">
        <v>2309</v>
      </c>
      <c r="B271" s="0" t="s">
        <v>42</v>
      </c>
      <c r="C271" s="0" t="s">
        <v>47</v>
      </c>
      <c r="D271" s="0" t="s">
        <v>31</v>
      </c>
      <c r="E271" s="0" t="s">
        <v>32</v>
      </c>
      <c r="H271" s="0" t="n">
        <v>3</v>
      </c>
      <c r="I271" s="0" t="n">
        <v>3</v>
      </c>
      <c r="J271" s="0" t="n">
        <v>0</v>
      </c>
      <c r="K271" s="0" t="n">
        <v>52.18</v>
      </c>
      <c r="L271" s="0" t="n">
        <v>51.06</v>
      </c>
      <c r="M271" s="0" t="n">
        <v>-1.12</v>
      </c>
      <c r="N271" s="0" t="n">
        <v>12041</v>
      </c>
      <c r="Q271" s="0" t="s">
        <v>33</v>
      </c>
      <c r="R271" s="0" t="n">
        <v>4040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Z271" s="0" t="s">
        <v>33</v>
      </c>
      <c r="AA271" s="0" t="s">
        <v>40</v>
      </c>
      <c r="AB271" s="0" t="n">
        <v>0</v>
      </c>
      <c r="AC271" s="0" t="n">
        <v>0</v>
      </c>
    </row>
    <row r="272" customFormat="false" ht="15" hidden="false" customHeight="false" outlineLevel="0" collapsed="false">
      <c r="A272" s="0" t="n">
        <v>2310</v>
      </c>
      <c r="B272" s="0" t="s">
        <v>29</v>
      </c>
      <c r="C272" s="0" t="s">
        <v>30</v>
      </c>
      <c r="D272" s="0" t="s">
        <v>31</v>
      </c>
      <c r="E272" s="0" t="s">
        <v>32</v>
      </c>
      <c r="H272" s="0" t="n">
        <v>5</v>
      </c>
      <c r="I272" s="0" t="n">
        <v>5</v>
      </c>
      <c r="J272" s="0" t="n">
        <v>0</v>
      </c>
      <c r="K272" s="0" t="n">
        <v>58.63</v>
      </c>
      <c r="L272" s="0" t="n">
        <v>52.69</v>
      </c>
      <c r="M272" s="0" t="n">
        <v>-5.94</v>
      </c>
      <c r="N272" s="0" t="n">
        <v>15048</v>
      </c>
      <c r="Q272" s="0" t="s">
        <v>33</v>
      </c>
      <c r="R272" s="0" t="n">
        <v>4040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Z272" s="0" t="s">
        <v>34</v>
      </c>
      <c r="AA272" s="0" t="s">
        <v>37</v>
      </c>
      <c r="AB272" s="0" t="n">
        <v>0</v>
      </c>
      <c r="AC272" s="0" t="n">
        <v>0</v>
      </c>
    </row>
    <row r="273" customFormat="false" ht="15" hidden="false" customHeight="false" outlineLevel="0" collapsed="false">
      <c r="A273" s="0" t="n">
        <v>2314</v>
      </c>
      <c r="B273" s="0" t="s">
        <v>29</v>
      </c>
      <c r="C273" s="0" t="s">
        <v>47</v>
      </c>
      <c r="D273" s="0" t="s">
        <v>31</v>
      </c>
      <c r="E273" s="0" t="s">
        <v>32</v>
      </c>
      <c r="H273" s="0" t="n">
        <v>2</v>
      </c>
      <c r="I273" s="0" t="n">
        <v>2</v>
      </c>
      <c r="J273" s="0" t="n">
        <v>0</v>
      </c>
      <c r="K273" s="0" t="n">
        <v>52.43</v>
      </c>
      <c r="L273" s="0" t="n">
        <v>55.48</v>
      </c>
      <c r="M273" s="0" t="n">
        <v>3.05</v>
      </c>
      <c r="N273" s="0" t="n">
        <v>19059</v>
      </c>
      <c r="Q273" s="0" t="s">
        <v>33</v>
      </c>
      <c r="R273" s="0" t="n">
        <v>4040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Z273" s="0" t="s">
        <v>33</v>
      </c>
      <c r="AA273" s="0" t="s">
        <v>40</v>
      </c>
      <c r="AB273" s="0" t="n">
        <v>0</v>
      </c>
      <c r="AC273" s="0" t="n">
        <v>0</v>
      </c>
    </row>
    <row r="274" customFormat="false" ht="15" hidden="false" customHeight="false" outlineLevel="0" collapsed="false">
      <c r="A274" s="0" t="n">
        <v>2315</v>
      </c>
      <c r="B274" s="0" t="s">
        <v>29</v>
      </c>
      <c r="C274" s="0" t="s">
        <v>48</v>
      </c>
      <c r="D274" s="0" t="s">
        <v>31</v>
      </c>
      <c r="E274" s="0" t="s">
        <v>32</v>
      </c>
      <c r="H274" s="0" t="n">
        <v>3</v>
      </c>
      <c r="I274" s="0" t="n">
        <v>1</v>
      </c>
      <c r="J274" s="0" t="n">
        <v>-2</v>
      </c>
      <c r="K274" s="0" t="n">
        <v>78.61</v>
      </c>
      <c r="L274" s="0" t="n">
        <v>74.02</v>
      </c>
      <c r="M274" s="0" t="n">
        <v>-4.59</v>
      </c>
      <c r="N274" s="0" t="n">
        <v>7550</v>
      </c>
      <c r="Q274" s="0" t="s">
        <v>33</v>
      </c>
      <c r="R274" s="0" t="n">
        <v>4040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Z274" s="0" t="s">
        <v>33</v>
      </c>
      <c r="AA274" s="0" t="s">
        <v>40</v>
      </c>
      <c r="AB274" s="0" t="n">
        <v>0</v>
      </c>
      <c r="AC274" s="0" t="n">
        <v>0</v>
      </c>
    </row>
    <row r="275" customFormat="false" ht="15" hidden="false" customHeight="false" outlineLevel="0" collapsed="false">
      <c r="A275" s="0" t="n">
        <v>2318</v>
      </c>
      <c r="B275" s="0" t="s">
        <v>29</v>
      </c>
      <c r="C275" s="0" t="s">
        <v>39</v>
      </c>
      <c r="D275" s="0" t="s">
        <v>31</v>
      </c>
      <c r="E275" s="0" t="s">
        <v>32</v>
      </c>
      <c r="H275" s="0" t="n">
        <v>2</v>
      </c>
      <c r="I275" s="0" t="n">
        <v>2</v>
      </c>
      <c r="J275" s="0" t="n">
        <v>0</v>
      </c>
      <c r="K275" s="0" t="n">
        <v>80.24</v>
      </c>
      <c r="L275" s="0" t="n">
        <v>72.33</v>
      </c>
      <c r="M275" s="0" t="n">
        <v>-7.91</v>
      </c>
      <c r="N275" s="0" t="n">
        <v>8536</v>
      </c>
      <c r="Q275" s="0" t="s">
        <v>33</v>
      </c>
      <c r="R275" s="0" t="n">
        <v>4040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Z275" s="0" t="s">
        <v>34</v>
      </c>
      <c r="AA275" s="0" t="s">
        <v>37</v>
      </c>
      <c r="AB275" s="0" t="n">
        <v>0</v>
      </c>
      <c r="AC275" s="0" t="n">
        <v>0</v>
      </c>
    </row>
    <row r="276" customFormat="false" ht="15" hidden="false" customHeight="false" outlineLevel="0" collapsed="false">
      <c r="A276" s="0" t="n">
        <v>2337</v>
      </c>
      <c r="B276" s="0" t="s">
        <v>42</v>
      </c>
      <c r="C276" s="0" t="s">
        <v>30</v>
      </c>
      <c r="D276" s="0" t="s">
        <v>31</v>
      </c>
      <c r="E276" s="0" t="s">
        <v>32</v>
      </c>
      <c r="H276" s="0" t="n">
        <v>4</v>
      </c>
      <c r="I276" s="0" t="n">
        <v>4</v>
      </c>
      <c r="J276" s="0" t="n">
        <v>0</v>
      </c>
      <c r="K276" s="0" t="n">
        <v>78.66</v>
      </c>
      <c r="L276" s="0" t="n">
        <v>73.86</v>
      </c>
      <c r="M276" s="0" t="n">
        <v>-4.8</v>
      </c>
      <c r="N276" s="0" t="n">
        <v>10036</v>
      </c>
      <c r="Q276" s="0" t="s">
        <v>33</v>
      </c>
      <c r="R276" s="0" t="n">
        <v>4040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Z276" s="0" t="s">
        <v>34</v>
      </c>
      <c r="AA276" s="0" t="s">
        <v>37</v>
      </c>
      <c r="AB276" s="0" t="n">
        <v>0</v>
      </c>
      <c r="AC276" s="0" t="n">
        <v>0</v>
      </c>
    </row>
    <row r="277" customFormat="false" ht="15" hidden="false" customHeight="false" outlineLevel="0" collapsed="false">
      <c r="A277" s="0" t="n">
        <v>2342</v>
      </c>
      <c r="B277" s="0" t="s">
        <v>29</v>
      </c>
      <c r="C277" s="0" t="s">
        <v>30</v>
      </c>
      <c r="D277" s="0" t="s">
        <v>31</v>
      </c>
      <c r="E277" s="0" t="s">
        <v>32</v>
      </c>
      <c r="H277" s="0" t="n">
        <v>12</v>
      </c>
      <c r="I277" s="0" t="n">
        <v>12</v>
      </c>
      <c r="J277" s="0" t="n">
        <v>0</v>
      </c>
      <c r="K277" s="0" t="n">
        <v>21.09</v>
      </c>
      <c r="L277" s="0" t="n">
        <v>14.82</v>
      </c>
      <c r="M277" s="0" t="n">
        <v>-6.27</v>
      </c>
      <c r="N277" s="0" t="n">
        <v>29596</v>
      </c>
      <c r="Q277" s="0" t="s">
        <v>33</v>
      </c>
      <c r="R277" s="0" t="n">
        <v>4040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Z277" s="0" t="s">
        <v>34</v>
      </c>
      <c r="AA277" s="0" t="s">
        <v>37</v>
      </c>
      <c r="AB277" s="0" t="n">
        <v>0</v>
      </c>
      <c r="AC277" s="0" t="n">
        <v>0</v>
      </c>
    </row>
    <row r="278" customFormat="false" ht="15" hidden="false" customHeight="false" outlineLevel="0" collapsed="false">
      <c r="A278" s="0" t="n">
        <v>2349</v>
      </c>
      <c r="B278" s="0" t="s">
        <v>36</v>
      </c>
      <c r="C278" s="0" t="s">
        <v>41</v>
      </c>
      <c r="D278" s="0" t="s">
        <v>31</v>
      </c>
      <c r="E278" s="0" t="s">
        <v>32</v>
      </c>
      <c r="H278" s="0" t="n">
        <v>3</v>
      </c>
      <c r="I278" s="0" t="n">
        <v>6</v>
      </c>
      <c r="J278" s="0" t="n">
        <v>3</v>
      </c>
      <c r="K278" s="0" t="n">
        <v>42.09</v>
      </c>
      <c r="L278" s="0" t="n">
        <v>39.48</v>
      </c>
      <c r="M278" s="0" t="n">
        <v>-2.61</v>
      </c>
      <c r="N278" s="0" t="n">
        <v>25574</v>
      </c>
      <c r="Q278" s="0" t="s">
        <v>33</v>
      </c>
      <c r="R278" s="0" t="n">
        <v>4040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Z278" s="0" t="s">
        <v>34</v>
      </c>
      <c r="AA278" s="0" t="s">
        <v>37</v>
      </c>
      <c r="AB278" s="0" t="n">
        <v>0</v>
      </c>
      <c r="AC278" s="0" t="n">
        <v>0</v>
      </c>
    </row>
    <row r="279" customFormat="false" ht="15" hidden="false" customHeight="false" outlineLevel="0" collapsed="false">
      <c r="A279" s="0" t="n">
        <v>2350</v>
      </c>
      <c r="B279" s="0" t="s">
        <v>36</v>
      </c>
      <c r="C279" s="0" t="s">
        <v>51</v>
      </c>
      <c r="D279" s="0" t="s">
        <v>31</v>
      </c>
      <c r="E279" s="0" t="s">
        <v>32</v>
      </c>
      <c r="H279" s="0" t="n">
        <v>9</v>
      </c>
      <c r="I279" s="0" t="n">
        <v>8</v>
      </c>
      <c r="J279" s="0" t="n">
        <v>-1</v>
      </c>
      <c r="K279" s="0" t="n">
        <v>34.07</v>
      </c>
      <c r="L279" s="0" t="n">
        <v>39.82</v>
      </c>
      <c r="M279" s="0" t="n">
        <v>5.75</v>
      </c>
      <c r="N279" s="0" t="n">
        <v>24577</v>
      </c>
      <c r="Q279" s="0" t="s">
        <v>33</v>
      </c>
      <c r="R279" s="0" t="n">
        <v>4040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Z279" s="0" t="s">
        <v>34</v>
      </c>
      <c r="AA279" s="0" t="s">
        <v>37</v>
      </c>
      <c r="AB279" s="0" t="n">
        <v>0</v>
      </c>
      <c r="AC279" s="0" t="n">
        <v>0</v>
      </c>
    </row>
    <row r="280" customFormat="false" ht="15" hidden="false" customHeight="false" outlineLevel="0" collapsed="false">
      <c r="A280" s="0" t="n">
        <v>2354</v>
      </c>
      <c r="B280" s="0" t="s">
        <v>36</v>
      </c>
      <c r="C280" s="0" t="s">
        <v>46</v>
      </c>
      <c r="D280" s="0" t="s">
        <v>31</v>
      </c>
      <c r="E280" s="0" t="s">
        <v>32</v>
      </c>
      <c r="H280" s="0" t="n">
        <v>10</v>
      </c>
      <c r="I280" s="0" t="n">
        <v>12</v>
      </c>
      <c r="J280" s="0" t="n">
        <v>2</v>
      </c>
      <c r="K280" s="0" t="n">
        <v>27.39</v>
      </c>
      <c r="L280" s="0" t="n">
        <v>23.11</v>
      </c>
      <c r="M280" s="0" t="n">
        <v>-4.28</v>
      </c>
      <c r="N280" s="0" t="n">
        <v>42101</v>
      </c>
      <c r="Q280" s="0" t="s">
        <v>33</v>
      </c>
      <c r="R280" s="0" t="n">
        <v>4040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Z280" s="0" t="s">
        <v>34</v>
      </c>
      <c r="AA280" s="0" t="s">
        <v>37</v>
      </c>
      <c r="AB280" s="0" t="n">
        <v>0</v>
      </c>
      <c r="AC28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34</v>
      </c>
      <c r="G2" s="0" t="s">
        <v>53</v>
      </c>
      <c r="H2" s="0" t="n">
        <v>8</v>
      </c>
      <c r="I2" s="0" t="n">
        <v>8</v>
      </c>
      <c r="J2" s="0" t="n">
        <v>0</v>
      </c>
      <c r="K2" s="0" t="n">
        <v>40.5</v>
      </c>
      <c r="L2" s="0" t="n">
        <v>38.44</v>
      </c>
      <c r="M2" s="0" t="n">
        <v>-2.06</v>
      </c>
      <c r="N2" s="0" t="n">
        <v>57610</v>
      </c>
      <c r="O2" s="0" t="n">
        <v>1</v>
      </c>
      <c r="P2" s="0" t="n">
        <v>0</v>
      </c>
      <c r="Q2" s="0" t="s">
        <v>33</v>
      </c>
      <c r="R2" s="0" t="n">
        <v>3334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2</v>
      </c>
      <c r="Y2" s="0" t="n">
        <v>8051</v>
      </c>
      <c r="Z2" s="0" t="s">
        <v>33</v>
      </c>
      <c r="AA2" s="0" t="s">
        <v>40</v>
      </c>
      <c r="AB2" s="0" t="n">
        <v>0</v>
      </c>
      <c r="AC2" s="0" t="n">
        <v>0</v>
      </c>
    </row>
    <row r="3" customFormat="false" ht="15" hidden="false" customHeight="false" outlineLevel="0" collapsed="false">
      <c r="A3" s="0" t="n">
        <v>9</v>
      </c>
      <c r="B3" s="0" t="s">
        <v>36</v>
      </c>
      <c r="C3" s="0" t="s">
        <v>30</v>
      </c>
      <c r="D3" s="0" t="s">
        <v>31</v>
      </c>
      <c r="E3" s="0" t="s">
        <v>32</v>
      </c>
      <c r="F3" s="0" t="s">
        <v>34</v>
      </c>
      <c r="G3" s="0" t="s">
        <v>53</v>
      </c>
      <c r="H3" s="0" t="n">
        <v>12</v>
      </c>
      <c r="I3" s="0" t="n">
        <v>12</v>
      </c>
      <c r="J3" s="0" t="n">
        <v>0</v>
      </c>
      <c r="K3" s="0" t="n">
        <v>28</v>
      </c>
      <c r="L3" s="0" t="n">
        <v>24.86</v>
      </c>
      <c r="M3" s="0" t="n">
        <v>-3.14</v>
      </c>
      <c r="N3" s="0" t="n">
        <v>116252</v>
      </c>
      <c r="O3" s="0" t="n">
        <v>1</v>
      </c>
      <c r="P3" s="0" t="n">
        <v>0</v>
      </c>
      <c r="Q3" s="0" t="s">
        <v>33</v>
      </c>
      <c r="R3" s="0" t="n">
        <v>3334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4</v>
      </c>
      <c r="Y3" s="0" t="n">
        <v>10240</v>
      </c>
      <c r="Z3" s="0" t="s">
        <v>34</v>
      </c>
      <c r="AA3" s="0" t="s">
        <v>37</v>
      </c>
      <c r="AB3" s="0" t="n">
        <v>0</v>
      </c>
      <c r="AC3" s="0" t="n">
        <v>0</v>
      </c>
    </row>
    <row r="4" customFormat="false" ht="15" hidden="false" customHeight="false" outlineLevel="0" collapsed="false">
      <c r="A4" s="0" t="n">
        <v>18</v>
      </c>
      <c r="B4" s="0" t="s">
        <v>29</v>
      </c>
      <c r="C4" s="0" t="s">
        <v>38</v>
      </c>
      <c r="D4" s="0" t="s">
        <v>31</v>
      </c>
      <c r="E4" s="0" t="s">
        <v>32</v>
      </c>
      <c r="F4" s="0" t="s">
        <v>33</v>
      </c>
      <c r="G4" s="0" t="s">
        <v>53</v>
      </c>
      <c r="H4" s="0" t="n">
        <v>4</v>
      </c>
      <c r="I4" s="0" t="n">
        <v>4</v>
      </c>
      <c r="J4" s="0" t="n">
        <v>0</v>
      </c>
      <c r="K4" s="0" t="n">
        <v>51.45</v>
      </c>
      <c r="L4" s="0" t="n">
        <v>51.45</v>
      </c>
      <c r="M4" s="0" t="n">
        <v>0</v>
      </c>
      <c r="N4" s="0" t="n">
        <v>67283</v>
      </c>
      <c r="O4" s="0" t="n">
        <v>2</v>
      </c>
      <c r="P4" s="0" t="n">
        <v>0</v>
      </c>
      <c r="Q4" s="0" t="s">
        <v>33</v>
      </c>
      <c r="R4" s="0" t="n">
        <v>3334</v>
      </c>
      <c r="S4" s="0" t="n">
        <v>0</v>
      </c>
      <c r="T4" s="0" t="n">
        <v>0</v>
      </c>
      <c r="U4" s="0" t="n">
        <v>0</v>
      </c>
      <c r="V4" s="0" t="n">
        <v>2</v>
      </c>
      <c r="W4" s="0" t="n">
        <v>0</v>
      </c>
      <c r="X4" s="0" t="n">
        <v>2</v>
      </c>
      <c r="Y4" s="0" t="n">
        <v>4736</v>
      </c>
      <c r="Z4" s="0" t="s">
        <v>34</v>
      </c>
      <c r="AA4" s="0" t="s">
        <v>35</v>
      </c>
      <c r="AB4" s="0" t="n">
        <v>1</v>
      </c>
      <c r="AC4" s="0" t="n">
        <v>0</v>
      </c>
    </row>
    <row r="5" customFormat="false" ht="15" hidden="false" customHeight="false" outlineLevel="0" collapsed="false">
      <c r="A5" s="0" t="n">
        <v>23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34</v>
      </c>
      <c r="G5" s="0" t="s">
        <v>53</v>
      </c>
      <c r="H5" s="0" t="n">
        <v>3</v>
      </c>
      <c r="I5" s="0" t="n">
        <v>3</v>
      </c>
      <c r="J5" s="0" t="n">
        <v>0</v>
      </c>
      <c r="K5" s="0" t="n">
        <v>79.39</v>
      </c>
      <c r="L5" s="0" t="n">
        <v>73.64</v>
      </c>
      <c r="M5" s="0" t="n">
        <v>-5.75</v>
      </c>
      <c r="N5" s="0" t="n">
        <v>52607</v>
      </c>
      <c r="O5" s="0" t="n">
        <v>1</v>
      </c>
      <c r="P5" s="0" t="n">
        <v>0</v>
      </c>
      <c r="Q5" s="0" t="s">
        <v>33</v>
      </c>
      <c r="R5" s="0" t="n">
        <v>3334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4</v>
      </c>
      <c r="Y5" s="0" t="n">
        <v>2840</v>
      </c>
      <c r="Z5" s="0" t="s">
        <v>34</v>
      </c>
      <c r="AA5" s="0" t="s">
        <v>35</v>
      </c>
      <c r="AB5" s="0" t="n">
        <v>1</v>
      </c>
      <c r="AC5" s="0" t="n">
        <v>0</v>
      </c>
    </row>
    <row r="6" customFormat="false" ht="15" hidden="false" customHeight="false" outlineLevel="0" collapsed="false">
      <c r="A6" s="0" t="n">
        <v>29</v>
      </c>
      <c r="B6" s="0" t="s">
        <v>36</v>
      </c>
      <c r="C6" s="0" t="s">
        <v>30</v>
      </c>
      <c r="D6" s="0" t="s">
        <v>31</v>
      </c>
      <c r="E6" s="0" t="s">
        <v>32</v>
      </c>
      <c r="F6" s="0" t="s">
        <v>34</v>
      </c>
      <c r="G6" s="0" t="s">
        <v>53</v>
      </c>
      <c r="H6" s="0" t="n">
        <v>11</v>
      </c>
      <c r="I6" s="0" t="n">
        <v>12</v>
      </c>
      <c r="J6" s="0" t="n">
        <v>1</v>
      </c>
      <c r="K6" s="0" t="n">
        <v>31.34</v>
      </c>
      <c r="L6" s="0" t="n">
        <v>25.82</v>
      </c>
      <c r="M6" s="0" t="n">
        <v>-5.52</v>
      </c>
      <c r="N6" s="0" t="n">
        <v>123183</v>
      </c>
      <c r="O6" s="0" t="n">
        <v>1</v>
      </c>
      <c r="P6" s="0" t="n">
        <v>0</v>
      </c>
      <c r="Q6" s="0" t="s">
        <v>33</v>
      </c>
      <c r="R6" s="0" t="n">
        <v>3334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4</v>
      </c>
      <c r="Y6" s="0" t="n">
        <v>11024</v>
      </c>
      <c r="Z6" s="0" t="s">
        <v>33</v>
      </c>
      <c r="AA6" s="0" t="s">
        <v>40</v>
      </c>
      <c r="AB6" s="0" t="n">
        <v>0</v>
      </c>
      <c r="AC6" s="0" t="n">
        <v>0</v>
      </c>
    </row>
    <row r="7" customFormat="false" ht="15" hidden="false" customHeight="false" outlineLevel="0" collapsed="false">
      <c r="A7" s="0" t="n">
        <v>37</v>
      </c>
      <c r="B7" s="0" t="s">
        <v>29</v>
      </c>
      <c r="C7" s="0" t="s">
        <v>39</v>
      </c>
      <c r="D7" s="0" t="s">
        <v>31</v>
      </c>
      <c r="E7" s="0" t="s">
        <v>32</v>
      </c>
      <c r="F7" s="0" t="s">
        <v>34</v>
      </c>
      <c r="G7" s="0" t="s">
        <v>53</v>
      </c>
      <c r="H7" s="0" t="n">
        <v>4</v>
      </c>
      <c r="I7" s="0" t="n">
        <v>4</v>
      </c>
      <c r="J7" s="0" t="n">
        <v>0</v>
      </c>
      <c r="K7" s="0" t="n">
        <v>52.48</v>
      </c>
      <c r="L7" s="0" t="n">
        <v>46.74</v>
      </c>
      <c r="M7" s="0" t="n">
        <v>-5.74</v>
      </c>
      <c r="N7" s="0" t="n">
        <v>49328</v>
      </c>
      <c r="O7" s="0" t="n">
        <v>1</v>
      </c>
      <c r="P7" s="0" t="n">
        <v>0</v>
      </c>
      <c r="Q7" s="0" t="s">
        <v>33</v>
      </c>
      <c r="R7" s="0" t="n">
        <v>3334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2</v>
      </c>
      <c r="Y7" s="0" t="n">
        <v>7974</v>
      </c>
      <c r="Z7" s="0" t="s">
        <v>33</v>
      </c>
      <c r="AA7" s="0" t="s">
        <v>40</v>
      </c>
      <c r="AB7" s="0" t="n">
        <v>0</v>
      </c>
      <c r="AC7" s="0" t="n">
        <v>0</v>
      </c>
    </row>
    <row r="8" customFormat="false" ht="15" hidden="false" customHeight="false" outlineLevel="0" collapsed="false">
      <c r="A8" s="0" t="n">
        <v>43</v>
      </c>
      <c r="B8" s="0" t="s">
        <v>36</v>
      </c>
      <c r="C8" s="0" t="s">
        <v>30</v>
      </c>
      <c r="D8" s="0" t="s">
        <v>31</v>
      </c>
      <c r="E8" s="0" t="s">
        <v>32</v>
      </c>
      <c r="F8" s="0" t="s">
        <v>34</v>
      </c>
      <c r="G8" s="0" t="s">
        <v>53</v>
      </c>
      <c r="H8" s="0" t="n">
        <v>10</v>
      </c>
      <c r="I8" s="0" t="n">
        <v>11</v>
      </c>
      <c r="J8" s="0" t="n">
        <v>1</v>
      </c>
      <c r="K8" s="0" t="n">
        <v>43.6</v>
      </c>
      <c r="L8" s="0" t="n">
        <v>36.01</v>
      </c>
      <c r="M8" s="0" t="n">
        <v>-7.59</v>
      </c>
      <c r="N8" s="0" t="n">
        <v>61819</v>
      </c>
      <c r="O8" s="0" t="n">
        <v>1</v>
      </c>
      <c r="P8" s="0" t="n">
        <v>0</v>
      </c>
      <c r="Q8" s="0" t="s">
        <v>33</v>
      </c>
      <c r="R8" s="0" t="n">
        <v>3334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2</v>
      </c>
      <c r="Y8" s="0" t="n">
        <v>8331</v>
      </c>
      <c r="Z8" s="0" t="s">
        <v>33</v>
      </c>
      <c r="AA8" s="0" t="s">
        <v>40</v>
      </c>
      <c r="AB8" s="0" t="n">
        <v>0</v>
      </c>
      <c r="AC8" s="0" t="n">
        <v>0</v>
      </c>
    </row>
    <row r="9" customFormat="false" ht="15" hidden="false" customHeight="false" outlineLevel="0" collapsed="false">
      <c r="A9" s="0" t="n">
        <v>44</v>
      </c>
      <c r="B9" s="0" t="s">
        <v>29</v>
      </c>
      <c r="C9" s="0" t="s">
        <v>39</v>
      </c>
      <c r="D9" s="0" t="s">
        <v>31</v>
      </c>
      <c r="E9" s="0" t="s">
        <v>32</v>
      </c>
      <c r="F9" s="0" t="s">
        <v>34</v>
      </c>
      <c r="G9" s="0" t="s">
        <v>53</v>
      </c>
      <c r="H9" s="0" t="n">
        <v>3</v>
      </c>
      <c r="I9" s="0" t="n">
        <v>3</v>
      </c>
      <c r="J9" s="0" t="n">
        <v>0</v>
      </c>
      <c r="K9" s="0" t="n">
        <v>64.86</v>
      </c>
      <c r="L9" s="0" t="n">
        <v>59.37</v>
      </c>
      <c r="M9" s="0" t="n">
        <v>-5.49</v>
      </c>
      <c r="N9" s="0" t="n">
        <v>75693</v>
      </c>
      <c r="O9" s="0" t="n">
        <v>1</v>
      </c>
      <c r="P9" s="0" t="n">
        <v>0</v>
      </c>
      <c r="Q9" s="0" t="s">
        <v>33</v>
      </c>
      <c r="R9" s="0" t="n">
        <v>3336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5</v>
      </c>
      <c r="Y9" s="0" t="n">
        <v>4812</v>
      </c>
      <c r="Z9" s="0" t="s">
        <v>34</v>
      </c>
      <c r="AA9" s="0" t="s">
        <v>37</v>
      </c>
      <c r="AB9" s="0" t="n">
        <v>0</v>
      </c>
      <c r="AC9" s="0" t="n">
        <v>0</v>
      </c>
    </row>
    <row r="10" customFormat="false" ht="15" hidden="false" customHeight="false" outlineLevel="0" collapsed="false">
      <c r="A10" s="0" t="n">
        <v>54</v>
      </c>
      <c r="B10" s="0" t="s">
        <v>29</v>
      </c>
      <c r="C10" s="0" t="s">
        <v>39</v>
      </c>
      <c r="D10" s="0" t="s">
        <v>31</v>
      </c>
      <c r="E10" s="0" t="s">
        <v>32</v>
      </c>
      <c r="F10" s="0" t="s">
        <v>34</v>
      </c>
      <c r="G10" s="0" t="s">
        <v>53</v>
      </c>
      <c r="H10" s="0" t="n">
        <v>3</v>
      </c>
      <c r="I10" s="0" t="n">
        <v>3</v>
      </c>
      <c r="J10" s="0" t="n">
        <v>0</v>
      </c>
      <c r="K10" s="0" t="n">
        <v>72.79</v>
      </c>
      <c r="L10" s="0" t="n">
        <v>65.89</v>
      </c>
      <c r="M10" s="0" t="n">
        <v>-6.9</v>
      </c>
      <c r="N10" s="0" t="n">
        <v>44734</v>
      </c>
      <c r="O10" s="0" t="n">
        <v>1</v>
      </c>
      <c r="P10" s="0" t="n">
        <v>0</v>
      </c>
      <c r="Q10" s="0" t="s">
        <v>33</v>
      </c>
      <c r="R10" s="0" t="n">
        <v>3336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2</v>
      </c>
      <c r="Y10" s="0" t="n">
        <v>3674</v>
      </c>
      <c r="Z10" s="0" t="s">
        <v>34</v>
      </c>
      <c r="AA10" s="0" t="s">
        <v>37</v>
      </c>
      <c r="AB10" s="0" t="n">
        <v>0</v>
      </c>
      <c r="AC10" s="0" t="n">
        <v>0</v>
      </c>
    </row>
    <row r="11" customFormat="false" ht="15" hidden="false" customHeight="false" outlineLevel="0" collapsed="false">
      <c r="A11" s="0" t="n">
        <v>62</v>
      </c>
      <c r="B11" s="0" t="s">
        <v>29</v>
      </c>
      <c r="C11" s="0" t="s">
        <v>41</v>
      </c>
      <c r="D11" s="0" t="s">
        <v>54</v>
      </c>
      <c r="E11" s="0" t="s">
        <v>50</v>
      </c>
      <c r="F11" s="0" t="s">
        <v>33</v>
      </c>
      <c r="H11" s="0" t="n">
        <v>11</v>
      </c>
      <c r="I11" s="0" t="n">
        <v>11</v>
      </c>
      <c r="J11" s="0" t="n">
        <v>0</v>
      </c>
      <c r="K11" s="0" t="n">
        <v>37.98</v>
      </c>
      <c r="L11" s="0" t="n">
        <v>37.98</v>
      </c>
      <c r="M11" s="0" t="n">
        <v>0</v>
      </c>
      <c r="N11" s="0" t="n">
        <v>152416</v>
      </c>
      <c r="O11" s="0" t="n">
        <v>4</v>
      </c>
      <c r="P11" s="0" t="n">
        <v>0</v>
      </c>
      <c r="Q11" s="0" t="s">
        <v>34</v>
      </c>
      <c r="R11" s="0" t="n">
        <v>2826</v>
      </c>
      <c r="S11" s="0" t="n">
        <v>0</v>
      </c>
      <c r="T11" s="0" t="n">
        <v>0</v>
      </c>
      <c r="U11" s="0" t="n">
        <v>0</v>
      </c>
      <c r="V11" s="0" t="n">
        <v>3</v>
      </c>
      <c r="W11" s="0" t="n">
        <v>0</v>
      </c>
      <c r="X11" s="0" t="n">
        <v>0</v>
      </c>
      <c r="Z11" s="0" t="s">
        <v>34</v>
      </c>
      <c r="AA11" s="0" t="s">
        <v>37</v>
      </c>
      <c r="AB11" s="0" t="n">
        <v>0</v>
      </c>
      <c r="AC11" s="0" t="n">
        <v>0</v>
      </c>
    </row>
    <row r="12" customFormat="false" ht="15" hidden="false" customHeight="false" outlineLevel="0" collapsed="false">
      <c r="A12" s="0" t="n">
        <v>68</v>
      </c>
      <c r="B12" s="0" t="s">
        <v>42</v>
      </c>
      <c r="C12" s="0" t="s">
        <v>30</v>
      </c>
      <c r="D12" s="0" t="s">
        <v>31</v>
      </c>
      <c r="E12" s="0" t="s">
        <v>32</v>
      </c>
      <c r="F12" s="0" t="s">
        <v>34</v>
      </c>
      <c r="G12" s="0" t="s">
        <v>53</v>
      </c>
      <c r="H12" s="0" t="n">
        <v>6</v>
      </c>
      <c r="I12" s="0" t="n">
        <v>6</v>
      </c>
      <c r="J12" s="0" t="n">
        <v>0</v>
      </c>
      <c r="K12" s="0" t="n">
        <v>55.18</v>
      </c>
      <c r="L12" s="0" t="n">
        <v>52.8</v>
      </c>
      <c r="M12" s="0" t="n">
        <v>-2.38</v>
      </c>
      <c r="N12" s="0" t="n">
        <v>99839</v>
      </c>
      <c r="O12" s="0" t="n">
        <v>1</v>
      </c>
      <c r="P12" s="0" t="n">
        <v>0</v>
      </c>
      <c r="Q12" s="0" t="s">
        <v>33</v>
      </c>
      <c r="R12" s="0" t="n">
        <v>3336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4</v>
      </c>
      <c r="Y12" s="0" t="n">
        <v>5823</v>
      </c>
      <c r="Z12" s="0" t="s">
        <v>34</v>
      </c>
      <c r="AA12" s="0" t="s">
        <v>37</v>
      </c>
      <c r="AB12" s="0" t="n">
        <v>0</v>
      </c>
      <c r="AC12" s="0" t="n">
        <v>0</v>
      </c>
    </row>
    <row r="13" customFormat="false" ht="15" hidden="false" customHeight="false" outlineLevel="0" collapsed="false">
      <c r="A13" s="0" t="n">
        <v>71</v>
      </c>
      <c r="B13" s="0" t="s">
        <v>36</v>
      </c>
      <c r="C13" s="0" t="s">
        <v>38</v>
      </c>
      <c r="D13" s="0" t="s">
        <v>31</v>
      </c>
      <c r="E13" s="0" t="s">
        <v>32</v>
      </c>
      <c r="F13" s="0" t="s">
        <v>33</v>
      </c>
      <c r="G13" s="0" t="s">
        <v>53</v>
      </c>
      <c r="H13" s="0" t="n">
        <v>6</v>
      </c>
      <c r="I13" s="0" t="n">
        <v>6</v>
      </c>
      <c r="J13" s="0" t="n">
        <v>0</v>
      </c>
      <c r="K13" s="0" t="n">
        <v>38.66</v>
      </c>
      <c r="L13" s="0" t="n">
        <v>38.66</v>
      </c>
      <c r="M13" s="0" t="n">
        <v>0</v>
      </c>
      <c r="N13" s="0" t="n">
        <v>182963</v>
      </c>
      <c r="O13" s="0" t="n">
        <v>3</v>
      </c>
      <c r="P13" s="0" t="n">
        <v>0</v>
      </c>
      <c r="Q13" s="0" t="s">
        <v>33</v>
      </c>
      <c r="R13" s="0" t="n">
        <v>3336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2</v>
      </c>
      <c r="X13" s="0" t="n">
        <v>4</v>
      </c>
      <c r="Y13" s="0" t="n">
        <v>9115</v>
      </c>
      <c r="Z13" s="0" t="s">
        <v>34</v>
      </c>
      <c r="AA13" s="0" t="s">
        <v>37</v>
      </c>
      <c r="AB13" s="0" t="n">
        <v>0</v>
      </c>
      <c r="AC13" s="0" t="n">
        <v>0</v>
      </c>
    </row>
    <row r="14" customFormat="false" ht="15" hidden="false" customHeight="false" outlineLevel="0" collapsed="false">
      <c r="A14" s="0" t="n">
        <v>72</v>
      </c>
      <c r="B14" s="0" t="s">
        <v>29</v>
      </c>
      <c r="C14" s="0" t="s">
        <v>43</v>
      </c>
      <c r="D14" s="0" t="s">
        <v>31</v>
      </c>
      <c r="E14" s="0" t="s">
        <v>32</v>
      </c>
      <c r="F14" s="0" t="s">
        <v>34</v>
      </c>
      <c r="G14" s="0" t="s">
        <v>53</v>
      </c>
      <c r="H14" s="0" t="n">
        <v>14</v>
      </c>
      <c r="I14" s="0" t="n">
        <v>15</v>
      </c>
      <c r="J14" s="0" t="n">
        <v>1</v>
      </c>
      <c r="K14" s="0" t="n">
        <v>34.58</v>
      </c>
      <c r="L14" s="0" t="n">
        <v>34.38</v>
      </c>
      <c r="M14" s="0" t="n">
        <v>-0.2</v>
      </c>
      <c r="N14" s="0" t="n">
        <v>85024</v>
      </c>
      <c r="O14" s="0" t="n">
        <v>1</v>
      </c>
      <c r="P14" s="0" t="n">
        <v>0</v>
      </c>
      <c r="Q14" s="0" t="s">
        <v>33</v>
      </c>
      <c r="R14" s="0" t="n">
        <v>3336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Z14" s="0" t="s">
        <v>33</v>
      </c>
      <c r="AA14" s="0" t="s">
        <v>40</v>
      </c>
      <c r="AB14" s="0" t="n">
        <v>0</v>
      </c>
      <c r="AC14" s="0" t="n">
        <v>0</v>
      </c>
    </row>
    <row r="15" customFormat="false" ht="15" hidden="false" customHeight="false" outlineLevel="0" collapsed="false">
      <c r="A15" s="0" t="n">
        <v>74</v>
      </c>
      <c r="B15" s="0" t="s">
        <v>29</v>
      </c>
      <c r="C15" s="0" t="s">
        <v>44</v>
      </c>
      <c r="D15" s="0" t="s">
        <v>54</v>
      </c>
      <c r="E15" s="0" t="s">
        <v>50</v>
      </c>
      <c r="F15" s="0" t="s">
        <v>33</v>
      </c>
      <c r="H15" s="0" t="n">
        <v>4</v>
      </c>
      <c r="I15" s="0" t="n">
        <v>4</v>
      </c>
      <c r="J15" s="0" t="n">
        <v>0</v>
      </c>
      <c r="K15" s="0" t="n">
        <v>56.35</v>
      </c>
      <c r="L15" s="0" t="n">
        <v>56.35</v>
      </c>
      <c r="M15" s="0" t="n">
        <v>0</v>
      </c>
      <c r="N15" s="0" t="n">
        <v>116807</v>
      </c>
      <c r="O15" s="0" t="n">
        <v>4</v>
      </c>
      <c r="P15" s="0" t="n">
        <v>0</v>
      </c>
      <c r="Q15" s="0" t="s">
        <v>34</v>
      </c>
      <c r="R15" s="0" t="n">
        <v>2826</v>
      </c>
      <c r="S15" s="0" t="n">
        <v>0</v>
      </c>
      <c r="T15" s="0" t="n">
        <v>0</v>
      </c>
      <c r="U15" s="0" t="n">
        <v>0</v>
      </c>
      <c r="V15" s="0" t="n">
        <v>3</v>
      </c>
      <c r="W15" s="0" t="n">
        <v>0</v>
      </c>
      <c r="X15" s="0" t="n">
        <v>4</v>
      </c>
      <c r="Y15" s="0" t="n">
        <v>4933</v>
      </c>
      <c r="Z15" s="0" t="s">
        <v>34</v>
      </c>
      <c r="AA15" s="0" t="s">
        <v>37</v>
      </c>
      <c r="AB15" s="0" t="n">
        <v>0</v>
      </c>
      <c r="AC15" s="0" t="n">
        <v>0</v>
      </c>
    </row>
    <row r="16" customFormat="false" ht="15" hidden="false" customHeight="false" outlineLevel="0" collapsed="false">
      <c r="A16" s="0" t="n">
        <v>76</v>
      </c>
      <c r="B16" s="0" t="s">
        <v>29</v>
      </c>
      <c r="C16" s="0" t="s">
        <v>45</v>
      </c>
      <c r="D16" s="0" t="s">
        <v>31</v>
      </c>
      <c r="E16" s="0" t="s">
        <v>32</v>
      </c>
      <c r="F16" s="0" t="s">
        <v>34</v>
      </c>
      <c r="G16" s="0" t="s">
        <v>53</v>
      </c>
      <c r="H16" s="0" t="n">
        <v>3</v>
      </c>
      <c r="I16" s="0" t="n">
        <v>3</v>
      </c>
      <c r="J16" s="0" t="n">
        <v>0</v>
      </c>
      <c r="K16" s="0" t="n">
        <v>55.54</v>
      </c>
      <c r="L16" s="0" t="n">
        <v>55.54</v>
      </c>
      <c r="M16" s="0" t="n">
        <v>0</v>
      </c>
      <c r="N16" s="0" t="n">
        <v>51727</v>
      </c>
      <c r="O16" s="0" t="n">
        <v>1</v>
      </c>
      <c r="P16" s="0" t="n">
        <v>0</v>
      </c>
      <c r="Q16" s="0" t="s">
        <v>33</v>
      </c>
      <c r="R16" s="0" t="n">
        <v>3336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Z16" s="0" t="s">
        <v>34</v>
      </c>
      <c r="AA16" s="0" t="s">
        <v>35</v>
      </c>
      <c r="AB16" s="0" t="n">
        <v>1</v>
      </c>
      <c r="AC16" s="0" t="n">
        <v>0</v>
      </c>
    </row>
    <row r="17" customFormat="false" ht="15" hidden="false" customHeight="false" outlineLevel="0" collapsed="false">
      <c r="A17" s="0" t="n">
        <v>80</v>
      </c>
      <c r="B17" s="0" t="s">
        <v>29</v>
      </c>
      <c r="C17" s="0" t="s">
        <v>43</v>
      </c>
      <c r="D17" s="0" t="s">
        <v>31</v>
      </c>
      <c r="E17" s="0" t="s">
        <v>32</v>
      </c>
      <c r="F17" s="0" t="s">
        <v>33</v>
      </c>
      <c r="G17" s="0" t="s">
        <v>53</v>
      </c>
      <c r="H17" s="0" t="n">
        <v>9</v>
      </c>
      <c r="I17" s="0" t="n">
        <v>10</v>
      </c>
      <c r="J17" s="0" t="n">
        <v>1</v>
      </c>
      <c r="K17" s="0" t="n">
        <v>40.24</v>
      </c>
      <c r="L17" s="0" t="n">
        <v>37.29</v>
      </c>
      <c r="M17" s="0" t="n">
        <v>-2.95</v>
      </c>
      <c r="N17" s="0" t="n">
        <v>127487</v>
      </c>
      <c r="O17" s="0" t="n">
        <v>2</v>
      </c>
      <c r="P17" s="0" t="n">
        <v>0</v>
      </c>
      <c r="Q17" s="0" t="s">
        <v>33</v>
      </c>
      <c r="R17" s="0" t="n">
        <v>3334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1</v>
      </c>
      <c r="X17" s="0" t="n">
        <v>0</v>
      </c>
      <c r="Z17" s="0" t="s">
        <v>34</v>
      </c>
      <c r="AA17" s="0" t="s">
        <v>37</v>
      </c>
      <c r="AB17" s="0" t="n">
        <v>0</v>
      </c>
      <c r="AC17" s="0" t="n">
        <v>0</v>
      </c>
    </row>
    <row r="18" customFormat="false" ht="15" hidden="false" customHeight="false" outlineLevel="0" collapsed="false">
      <c r="A18" s="0" t="n">
        <v>86</v>
      </c>
      <c r="B18" s="0" t="s">
        <v>36</v>
      </c>
      <c r="C18" s="0" t="s">
        <v>45</v>
      </c>
      <c r="D18" s="0" t="s">
        <v>31</v>
      </c>
      <c r="E18" s="0" t="s">
        <v>32</v>
      </c>
      <c r="F18" s="0" t="s">
        <v>34</v>
      </c>
      <c r="G18" s="0" t="s">
        <v>53</v>
      </c>
      <c r="H18" s="0" t="n">
        <v>8</v>
      </c>
      <c r="I18" s="0" t="n">
        <v>8</v>
      </c>
      <c r="J18" s="0" t="n">
        <v>0</v>
      </c>
      <c r="K18" s="0" t="n">
        <v>45.8</v>
      </c>
      <c r="L18" s="0" t="n">
        <v>42.03</v>
      </c>
      <c r="M18" s="0" t="n">
        <v>-3.77</v>
      </c>
      <c r="N18" s="0" t="n">
        <v>57029</v>
      </c>
      <c r="O18" s="0" t="n">
        <v>1</v>
      </c>
      <c r="P18" s="0" t="n">
        <v>0</v>
      </c>
      <c r="Q18" s="0" t="s">
        <v>33</v>
      </c>
      <c r="R18" s="0" t="n">
        <v>3336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Z18" s="0" t="s">
        <v>33</v>
      </c>
      <c r="AA18" s="0" t="s">
        <v>40</v>
      </c>
      <c r="AB18" s="0" t="n">
        <v>0</v>
      </c>
      <c r="AC18" s="0" t="n">
        <v>0</v>
      </c>
    </row>
    <row r="19" customFormat="false" ht="15" hidden="false" customHeight="false" outlineLevel="0" collapsed="false">
      <c r="A19" s="0" t="n">
        <v>88</v>
      </c>
      <c r="B19" s="0" t="s">
        <v>29</v>
      </c>
      <c r="C19" s="0" t="s">
        <v>39</v>
      </c>
      <c r="D19" s="0" t="s">
        <v>31</v>
      </c>
      <c r="E19" s="0" t="s">
        <v>32</v>
      </c>
      <c r="F19" s="0" t="s">
        <v>34</v>
      </c>
      <c r="G19" s="0" t="s">
        <v>53</v>
      </c>
      <c r="H19" s="0" t="n">
        <v>2</v>
      </c>
      <c r="I19" s="0" t="n">
        <v>2</v>
      </c>
      <c r="J19" s="0" t="n">
        <v>0</v>
      </c>
      <c r="K19" s="0" t="n">
        <v>73.58</v>
      </c>
      <c r="L19" s="0" t="n">
        <v>66.92</v>
      </c>
      <c r="M19" s="0" t="n">
        <v>-6.66</v>
      </c>
      <c r="N19" s="0" t="n">
        <v>43677</v>
      </c>
      <c r="O19" s="0" t="n">
        <v>1</v>
      </c>
      <c r="P19" s="0" t="n">
        <v>0</v>
      </c>
      <c r="Q19" s="0" t="s">
        <v>33</v>
      </c>
      <c r="R19" s="0" t="n">
        <v>3336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2</v>
      </c>
      <c r="Y19" s="0" t="n">
        <v>4551</v>
      </c>
      <c r="Z19" s="0" t="s">
        <v>34</v>
      </c>
      <c r="AA19" s="0" t="s">
        <v>35</v>
      </c>
      <c r="AB19" s="0" t="n">
        <v>1</v>
      </c>
      <c r="AC19" s="0" t="n">
        <v>0</v>
      </c>
    </row>
    <row r="20" customFormat="false" ht="15" hidden="false" customHeight="false" outlineLevel="0" collapsed="false">
      <c r="A20" s="0" t="n">
        <v>96</v>
      </c>
      <c r="B20" s="0" t="s">
        <v>29</v>
      </c>
      <c r="C20" s="0" t="s">
        <v>41</v>
      </c>
      <c r="D20" s="0" t="s">
        <v>54</v>
      </c>
      <c r="E20" s="0" t="s">
        <v>50</v>
      </c>
      <c r="F20" s="0" t="s">
        <v>33</v>
      </c>
      <c r="H20" s="0" t="n">
        <v>11</v>
      </c>
      <c r="I20" s="0" t="n">
        <v>11</v>
      </c>
      <c r="J20" s="0" t="n">
        <v>0</v>
      </c>
      <c r="K20" s="0" t="n">
        <v>30.44</v>
      </c>
      <c r="L20" s="0" t="n">
        <v>30.44</v>
      </c>
      <c r="M20" s="0" t="n">
        <v>0</v>
      </c>
      <c r="N20" s="0" t="n">
        <v>163417</v>
      </c>
      <c r="O20" s="0" t="n">
        <v>4</v>
      </c>
      <c r="P20" s="0" t="n">
        <v>0</v>
      </c>
      <c r="Q20" s="0" t="s">
        <v>34</v>
      </c>
      <c r="R20" s="0" t="n">
        <v>2826</v>
      </c>
      <c r="S20" s="0" t="n">
        <v>0</v>
      </c>
      <c r="T20" s="0" t="n">
        <v>0</v>
      </c>
      <c r="U20" s="0" t="n">
        <v>0</v>
      </c>
      <c r="V20" s="0" t="n">
        <v>3</v>
      </c>
      <c r="W20" s="0" t="n">
        <v>0</v>
      </c>
      <c r="X20" s="0" t="n">
        <v>0</v>
      </c>
      <c r="Z20" s="0" t="s">
        <v>34</v>
      </c>
      <c r="AA20" s="0" t="s">
        <v>37</v>
      </c>
      <c r="AB20" s="0" t="n">
        <v>0</v>
      </c>
      <c r="AC20" s="0" t="n">
        <v>0</v>
      </c>
    </row>
    <row r="21" customFormat="false" ht="15" hidden="false" customHeight="false" outlineLevel="0" collapsed="false">
      <c r="A21" s="0" t="n">
        <v>98</v>
      </c>
      <c r="B21" s="0" t="s">
        <v>29</v>
      </c>
      <c r="C21" s="0" t="s">
        <v>43</v>
      </c>
      <c r="D21" s="0" t="s">
        <v>54</v>
      </c>
      <c r="E21" s="0" t="s">
        <v>50</v>
      </c>
      <c r="F21" s="0" t="s">
        <v>33</v>
      </c>
      <c r="G21" s="0" t="s">
        <v>55</v>
      </c>
      <c r="H21" s="0" t="n">
        <v>5</v>
      </c>
      <c r="I21" s="0" t="n">
        <v>5</v>
      </c>
      <c r="J21" s="0" t="n">
        <v>0</v>
      </c>
      <c r="K21" s="0" t="n">
        <v>51.37</v>
      </c>
      <c r="L21" s="0" t="n">
        <v>51.37</v>
      </c>
      <c r="M21" s="0" t="n">
        <v>0</v>
      </c>
      <c r="N21" s="0" t="n">
        <v>336238</v>
      </c>
      <c r="O21" s="0" t="n">
        <v>4</v>
      </c>
      <c r="P21" s="0" t="n">
        <v>0</v>
      </c>
      <c r="Q21" s="0" t="s">
        <v>34</v>
      </c>
      <c r="R21" s="0" t="n">
        <v>3334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Z21" s="0" t="s">
        <v>34</v>
      </c>
      <c r="AA21" s="0" t="s">
        <v>37</v>
      </c>
      <c r="AB21" s="0" t="n">
        <v>0</v>
      </c>
      <c r="AC21" s="0" t="n">
        <v>0</v>
      </c>
    </row>
    <row r="22" customFormat="false" ht="15" hidden="false" customHeight="false" outlineLevel="0" collapsed="false">
      <c r="A22" s="0" t="n">
        <v>99</v>
      </c>
      <c r="B22" s="0" t="s">
        <v>42</v>
      </c>
      <c r="C22" s="0" t="s">
        <v>30</v>
      </c>
      <c r="D22" s="0" t="s">
        <v>31</v>
      </c>
      <c r="E22" s="0" t="s">
        <v>32</v>
      </c>
      <c r="F22" s="0" t="s">
        <v>34</v>
      </c>
      <c r="G22" s="0" t="s">
        <v>53</v>
      </c>
      <c r="H22" s="0" t="n">
        <v>7</v>
      </c>
      <c r="I22" s="0" t="n">
        <v>6</v>
      </c>
      <c r="J22" s="0" t="n">
        <v>-1</v>
      </c>
      <c r="K22" s="0" t="n">
        <v>54.81</v>
      </c>
      <c r="L22" s="0" t="n">
        <v>60.32</v>
      </c>
      <c r="M22" s="0" t="n">
        <v>5.51</v>
      </c>
      <c r="N22" s="0" t="n">
        <v>77977</v>
      </c>
      <c r="O22" s="0" t="n">
        <v>1</v>
      </c>
      <c r="P22" s="0" t="n">
        <v>0</v>
      </c>
      <c r="Q22" s="0" t="s">
        <v>33</v>
      </c>
      <c r="R22" s="0" t="n">
        <v>3336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4</v>
      </c>
      <c r="Y22" s="0" t="n">
        <v>4748</v>
      </c>
      <c r="Z22" s="0" t="s">
        <v>33</v>
      </c>
      <c r="AA22" s="0" t="s">
        <v>40</v>
      </c>
      <c r="AB22" s="0" t="n">
        <v>0</v>
      </c>
      <c r="AC22" s="0" t="n">
        <v>0</v>
      </c>
    </row>
    <row r="23" customFormat="false" ht="15" hidden="false" customHeight="false" outlineLevel="0" collapsed="false">
      <c r="A23" s="0" t="n">
        <v>106</v>
      </c>
      <c r="B23" s="0" t="s">
        <v>29</v>
      </c>
      <c r="C23" s="0" t="s">
        <v>46</v>
      </c>
      <c r="D23" s="0" t="s">
        <v>31</v>
      </c>
      <c r="E23" s="0" t="s">
        <v>32</v>
      </c>
      <c r="F23" s="0" t="s">
        <v>34</v>
      </c>
      <c r="G23" s="0" t="s">
        <v>53</v>
      </c>
      <c r="H23" s="0" t="n">
        <v>6</v>
      </c>
      <c r="I23" s="0" t="n">
        <v>5</v>
      </c>
      <c r="J23" s="0" t="n">
        <v>-1</v>
      </c>
      <c r="K23" s="0" t="n">
        <v>43.72</v>
      </c>
      <c r="L23" s="0" t="n">
        <v>35.21</v>
      </c>
      <c r="M23" s="0" t="n">
        <v>-8.51</v>
      </c>
      <c r="N23" s="0" t="n">
        <v>84326</v>
      </c>
      <c r="O23" s="0" t="n">
        <v>1</v>
      </c>
      <c r="P23" s="0" t="n">
        <v>0</v>
      </c>
      <c r="Q23" s="0" t="s">
        <v>33</v>
      </c>
      <c r="R23" s="0" t="n">
        <v>3336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4</v>
      </c>
      <c r="Y23" s="0" t="n">
        <v>10535</v>
      </c>
      <c r="Z23" s="0" t="s">
        <v>34</v>
      </c>
      <c r="AA23" s="0" t="s">
        <v>37</v>
      </c>
      <c r="AB23" s="0" t="n">
        <v>0</v>
      </c>
      <c r="AC23" s="0" t="n">
        <v>0</v>
      </c>
    </row>
    <row r="24" customFormat="false" ht="15" hidden="false" customHeight="false" outlineLevel="0" collapsed="false">
      <c r="A24" s="0" t="n">
        <v>110</v>
      </c>
      <c r="B24" s="0" t="s">
        <v>42</v>
      </c>
      <c r="C24" s="0" t="s">
        <v>39</v>
      </c>
      <c r="D24" s="0" t="s">
        <v>31</v>
      </c>
      <c r="E24" s="0" t="s">
        <v>32</v>
      </c>
      <c r="F24" s="0" t="s">
        <v>34</v>
      </c>
      <c r="G24" s="0" t="s">
        <v>53</v>
      </c>
      <c r="H24" s="0" t="n">
        <v>4</v>
      </c>
      <c r="I24" s="0" t="n">
        <v>3</v>
      </c>
      <c r="J24" s="0" t="n">
        <v>-1</v>
      </c>
      <c r="K24" s="0" t="n">
        <v>74</v>
      </c>
      <c r="L24" s="0" t="n">
        <v>66.27</v>
      </c>
      <c r="M24" s="0" t="n">
        <v>-7.73</v>
      </c>
      <c r="N24" s="0" t="n">
        <v>73845</v>
      </c>
      <c r="O24" s="0" t="n">
        <v>1</v>
      </c>
      <c r="P24" s="0" t="n">
        <v>0</v>
      </c>
      <c r="Q24" s="0" t="s">
        <v>33</v>
      </c>
      <c r="R24" s="0" t="n">
        <v>3336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4</v>
      </c>
      <c r="Y24" s="0" t="n">
        <v>5939</v>
      </c>
      <c r="Z24" s="0" t="s">
        <v>34</v>
      </c>
      <c r="AA24" s="0" t="s">
        <v>37</v>
      </c>
      <c r="AB24" s="0" t="n">
        <v>0</v>
      </c>
      <c r="AC24" s="0" t="n">
        <v>0</v>
      </c>
    </row>
    <row r="25" customFormat="false" ht="15" hidden="false" customHeight="false" outlineLevel="0" collapsed="false">
      <c r="A25" s="0" t="n">
        <v>121</v>
      </c>
      <c r="B25" s="0" t="s">
        <v>29</v>
      </c>
      <c r="C25" s="0" t="s">
        <v>39</v>
      </c>
      <c r="D25" s="0" t="s">
        <v>31</v>
      </c>
      <c r="E25" s="0" t="s">
        <v>32</v>
      </c>
      <c r="F25" s="0" t="s">
        <v>34</v>
      </c>
      <c r="G25" s="0" t="s">
        <v>53</v>
      </c>
      <c r="H25" s="0" t="n">
        <v>3</v>
      </c>
      <c r="I25" s="0" t="n">
        <v>3</v>
      </c>
      <c r="J25" s="0" t="n">
        <v>0</v>
      </c>
      <c r="K25" s="0" t="n">
        <v>69.83</v>
      </c>
      <c r="L25" s="0" t="n">
        <v>46.93</v>
      </c>
      <c r="M25" s="0" t="n">
        <v>-22.9</v>
      </c>
      <c r="N25" s="0" t="n">
        <v>41126</v>
      </c>
      <c r="O25" s="0" t="n">
        <v>1</v>
      </c>
      <c r="P25" s="0" t="n">
        <v>0</v>
      </c>
      <c r="Q25" s="0" t="s">
        <v>33</v>
      </c>
      <c r="R25" s="0" t="n">
        <v>3336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2</v>
      </c>
      <c r="Y25" s="0" t="n">
        <v>5446</v>
      </c>
      <c r="Z25" s="0" t="s">
        <v>33</v>
      </c>
      <c r="AA25" s="0" t="s">
        <v>40</v>
      </c>
      <c r="AB25" s="0" t="n">
        <v>0</v>
      </c>
      <c r="AC25" s="0" t="n">
        <v>0</v>
      </c>
    </row>
    <row r="26" customFormat="false" ht="15" hidden="false" customHeight="false" outlineLevel="0" collapsed="false">
      <c r="A26" s="0" t="n">
        <v>125</v>
      </c>
      <c r="B26" s="0" t="s">
        <v>36</v>
      </c>
      <c r="C26" s="0" t="s">
        <v>41</v>
      </c>
      <c r="D26" s="0" t="s">
        <v>31</v>
      </c>
      <c r="E26" s="0" t="s">
        <v>32</v>
      </c>
      <c r="F26" s="0" t="s">
        <v>33</v>
      </c>
      <c r="G26" s="0" t="s">
        <v>53</v>
      </c>
      <c r="H26" s="0" t="n">
        <v>8</v>
      </c>
      <c r="I26" s="0" t="n">
        <v>7</v>
      </c>
      <c r="J26" s="0" t="n">
        <v>-1</v>
      </c>
      <c r="K26" s="0" t="n">
        <v>16.33</v>
      </c>
      <c r="L26" s="0" t="n">
        <v>16.53</v>
      </c>
      <c r="M26" s="0" t="n">
        <v>0.2</v>
      </c>
      <c r="N26" s="0" t="n">
        <v>311765</v>
      </c>
      <c r="O26" s="0" t="n">
        <v>2</v>
      </c>
      <c r="P26" s="0" t="n">
        <v>0</v>
      </c>
      <c r="Q26" s="0" t="s">
        <v>33</v>
      </c>
      <c r="R26" s="0" t="n">
        <v>3336</v>
      </c>
      <c r="S26" s="0" t="n">
        <v>0</v>
      </c>
      <c r="T26" s="0" t="n">
        <v>0</v>
      </c>
      <c r="U26" s="0" t="n">
        <v>1</v>
      </c>
      <c r="V26" s="0" t="n">
        <v>2</v>
      </c>
      <c r="W26" s="0" t="n">
        <v>0</v>
      </c>
      <c r="X26" s="0" t="n">
        <v>5</v>
      </c>
      <c r="Y26" s="0" t="n">
        <v>19819</v>
      </c>
      <c r="Z26" s="0" t="s">
        <v>34</v>
      </c>
      <c r="AA26" s="0" t="s">
        <v>37</v>
      </c>
      <c r="AB26" s="0" t="n">
        <v>0</v>
      </c>
      <c r="AC26" s="0" t="n">
        <v>0</v>
      </c>
    </row>
    <row r="27" customFormat="false" ht="15" hidden="false" customHeight="false" outlineLevel="0" collapsed="false">
      <c r="A27" s="0" t="n">
        <v>131</v>
      </c>
      <c r="B27" s="0" t="s">
        <v>36</v>
      </c>
      <c r="C27" s="0" t="s">
        <v>30</v>
      </c>
      <c r="D27" s="0" t="s">
        <v>31</v>
      </c>
      <c r="E27" s="0" t="s">
        <v>32</v>
      </c>
      <c r="F27" s="0" t="s">
        <v>34</v>
      </c>
      <c r="G27" s="0" t="s">
        <v>53</v>
      </c>
      <c r="H27" s="0" t="n">
        <v>7</v>
      </c>
      <c r="I27" s="0" t="n">
        <v>7</v>
      </c>
      <c r="J27" s="0" t="n">
        <v>0</v>
      </c>
      <c r="K27" s="0" t="n">
        <v>45.23</v>
      </c>
      <c r="L27" s="0" t="n">
        <v>41.3</v>
      </c>
      <c r="M27" s="0" t="n">
        <v>-3.93</v>
      </c>
      <c r="N27" s="0" t="n">
        <v>87583</v>
      </c>
      <c r="O27" s="0" t="n">
        <v>1</v>
      </c>
      <c r="P27" s="0" t="n">
        <v>0</v>
      </c>
      <c r="Q27" s="0" t="s">
        <v>33</v>
      </c>
      <c r="R27" s="0" t="n">
        <v>3336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4</v>
      </c>
      <c r="Y27" s="0" t="n">
        <v>7221</v>
      </c>
      <c r="Z27" s="0" t="s">
        <v>34</v>
      </c>
      <c r="AA27" s="0" t="s">
        <v>37</v>
      </c>
      <c r="AB27" s="0" t="n">
        <v>0</v>
      </c>
      <c r="AC27" s="0" t="n">
        <v>0</v>
      </c>
    </row>
    <row r="28" customFormat="false" ht="15" hidden="false" customHeight="false" outlineLevel="0" collapsed="false">
      <c r="A28" s="0" t="n">
        <v>141</v>
      </c>
      <c r="B28" s="0" t="s">
        <v>29</v>
      </c>
      <c r="C28" s="0" t="s">
        <v>30</v>
      </c>
      <c r="D28" s="0" t="s">
        <v>31</v>
      </c>
      <c r="E28" s="0" t="s">
        <v>32</v>
      </c>
      <c r="F28" s="0" t="s">
        <v>34</v>
      </c>
      <c r="G28" s="0" t="s">
        <v>53</v>
      </c>
      <c r="H28" s="0" t="n">
        <v>5</v>
      </c>
      <c r="I28" s="0" t="n">
        <v>7</v>
      </c>
      <c r="J28" s="0" t="n">
        <v>2</v>
      </c>
      <c r="K28" s="0" t="n">
        <v>53.47</v>
      </c>
      <c r="L28" s="0" t="n">
        <v>48.61</v>
      </c>
      <c r="M28" s="0" t="n">
        <v>-4.86</v>
      </c>
      <c r="N28" s="0" t="n">
        <v>74492</v>
      </c>
      <c r="O28" s="0" t="n">
        <v>1</v>
      </c>
      <c r="P28" s="0" t="n">
        <v>0</v>
      </c>
      <c r="Q28" s="0" t="s">
        <v>33</v>
      </c>
      <c r="R28" s="0" t="n">
        <v>3336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4</v>
      </c>
      <c r="Y28" s="0" t="n">
        <v>4568</v>
      </c>
      <c r="Z28" s="0" t="s">
        <v>33</v>
      </c>
      <c r="AA28" s="0" t="s">
        <v>40</v>
      </c>
      <c r="AB28" s="0" t="n">
        <v>0</v>
      </c>
      <c r="AC28" s="0" t="n">
        <v>0</v>
      </c>
    </row>
    <row r="29" customFormat="false" ht="15" hidden="false" customHeight="false" outlineLevel="0" collapsed="false">
      <c r="A29" s="0" t="n">
        <v>144</v>
      </c>
      <c r="B29" s="0" t="s">
        <v>42</v>
      </c>
      <c r="C29" s="0" t="s">
        <v>38</v>
      </c>
      <c r="D29" s="0" t="s">
        <v>31</v>
      </c>
      <c r="E29" s="0" t="s">
        <v>32</v>
      </c>
      <c r="F29" s="0" t="s">
        <v>34</v>
      </c>
      <c r="G29" s="0" t="s">
        <v>53</v>
      </c>
      <c r="H29" s="0" t="n">
        <v>5</v>
      </c>
      <c r="I29" s="0" t="n">
        <v>5</v>
      </c>
      <c r="J29" s="0" t="n">
        <v>0</v>
      </c>
      <c r="K29" s="0" t="n">
        <v>51.64</v>
      </c>
      <c r="L29" s="0" t="n">
        <v>52.59</v>
      </c>
      <c r="M29" s="0" t="n">
        <v>0.95</v>
      </c>
      <c r="N29" s="0" t="n">
        <v>41893</v>
      </c>
      <c r="O29" s="0" t="n">
        <v>1</v>
      </c>
      <c r="P29" s="0" t="n">
        <v>0</v>
      </c>
      <c r="Q29" s="0" t="s">
        <v>33</v>
      </c>
      <c r="R29" s="0" t="n">
        <v>3336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2</v>
      </c>
      <c r="Y29" s="0" t="n">
        <v>6199</v>
      </c>
      <c r="Z29" s="0" t="s">
        <v>34</v>
      </c>
      <c r="AA29" s="0" t="s">
        <v>37</v>
      </c>
      <c r="AB29" s="0" t="n">
        <v>0</v>
      </c>
      <c r="AC29" s="0" t="n">
        <v>0</v>
      </c>
    </row>
    <row r="30" customFormat="false" ht="15" hidden="false" customHeight="false" outlineLevel="0" collapsed="false">
      <c r="A30" s="0" t="n">
        <v>146</v>
      </c>
      <c r="B30" s="0" t="s">
        <v>29</v>
      </c>
      <c r="C30" s="0" t="s">
        <v>46</v>
      </c>
      <c r="D30" s="0" t="s">
        <v>31</v>
      </c>
      <c r="E30" s="0" t="s">
        <v>32</v>
      </c>
      <c r="F30" s="0" t="s">
        <v>34</v>
      </c>
      <c r="G30" s="0" t="s">
        <v>53</v>
      </c>
      <c r="H30" s="0" t="n">
        <v>4</v>
      </c>
      <c r="I30" s="0" t="n">
        <v>4</v>
      </c>
      <c r="J30" s="0" t="n">
        <v>0</v>
      </c>
      <c r="K30" s="0" t="n">
        <v>56.09</v>
      </c>
      <c r="L30" s="0" t="n">
        <v>35.89</v>
      </c>
      <c r="M30" s="0" t="n">
        <v>-20.2</v>
      </c>
      <c r="N30" s="0" t="n">
        <v>278316</v>
      </c>
      <c r="O30" s="0" t="n">
        <v>1</v>
      </c>
      <c r="P30" s="0" t="n">
        <v>0</v>
      </c>
      <c r="Q30" s="0" t="s">
        <v>33</v>
      </c>
      <c r="R30" s="0" t="n">
        <v>3336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4</v>
      </c>
      <c r="Y30" s="0" t="n">
        <v>59030</v>
      </c>
      <c r="Z30" s="0" t="s">
        <v>33</v>
      </c>
      <c r="AA30" s="0" t="s">
        <v>40</v>
      </c>
      <c r="AB30" s="0" t="n">
        <v>0</v>
      </c>
      <c r="AC30" s="0" t="n">
        <v>0</v>
      </c>
    </row>
    <row r="31" customFormat="false" ht="15" hidden="false" customHeight="false" outlineLevel="0" collapsed="false">
      <c r="A31" s="0" t="n">
        <v>147</v>
      </c>
      <c r="B31" s="0" t="s">
        <v>29</v>
      </c>
      <c r="C31" s="0" t="s">
        <v>30</v>
      </c>
      <c r="D31" s="0" t="s">
        <v>31</v>
      </c>
      <c r="E31" s="0" t="s">
        <v>32</v>
      </c>
      <c r="F31" s="0" t="s">
        <v>34</v>
      </c>
      <c r="G31" s="0" t="s">
        <v>53</v>
      </c>
      <c r="H31" s="0" t="n">
        <v>5</v>
      </c>
      <c r="I31" s="0" t="n">
        <v>5</v>
      </c>
      <c r="J31" s="0" t="n">
        <v>0</v>
      </c>
      <c r="K31" s="0" t="n">
        <v>40.67</v>
      </c>
      <c r="L31" s="0" t="n">
        <v>37.36</v>
      </c>
      <c r="M31" s="0" t="n">
        <v>-3.31</v>
      </c>
      <c r="N31" s="0" t="n">
        <v>106794</v>
      </c>
      <c r="O31" s="0" t="n">
        <v>1</v>
      </c>
      <c r="P31" s="0" t="n">
        <v>0</v>
      </c>
      <c r="Q31" s="0" t="s">
        <v>33</v>
      </c>
      <c r="R31" s="0" t="n">
        <v>3336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4</v>
      </c>
      <c r="Y31" s="0" t="n">
        <v>8198</v>
      </c>
      <c r="Z31" s="0" t="s">
        <v>33</v>
      </c>
      <c r="AA31" s="0" t="s">
        <v>40</v>
      </c>
      <c r="AB31" s="0" t="n">
        <v>0</v>
      </c>
      <c r="AC31" s="0" t="n">
        <v>0</v>
      </c>
    </row>
    <row r="32" customFormat="false" ht="15" hidden="false" customHeight="false" outlineLevel="0" collapsed="false">
      <c r="A32" s="0" t="n">
        <v>151</v>
      </c>
      <c r="B32" s="0" t="s">
        <v>29</v>
      </c>
      <c r="C32" s="0" t="s">
        <v>44</v>
      </c>
      <c r="D32" s="0" t="s">
        <v>54</v>
      </c>
      <c r="E32" s="0" t="s">
        <v>50</v>
      </c>
      <c r="F32" s="0" t="s">
        <v>33</v>
      </c>
      <c r="H32" s="0" t="n">
        <v>3</v>
      </c>
      <c r="I32" s="0" t="n">
        <v>3</v>
      </c>
      <c r="J32" s="0" t="n">
        <v>0</v>
      </c>
      <c r="K32" s="0" t="n">
        <v>51.97</v>
      </c>
      <c r="L32" s="0" t="n">
        <v>51.97</v>
      </c>
      <c r="M32" s="0" t="n">
        <v>0</v>
      </c>
      <c r="N32" s="0" t="n">
        <v>117282</v>
      </c>
      <c r="O32" s="0" t="n">
        <v>4</v>
      </c>
      <c r="P32" s="0" t="n">
        <v>0</v>
      </c>
      <c r="Q32" s="0" t="s">
        <v>34</v>
      </c>
      <c r="R32" s="0" t="n">
        <v>2828</v>
      </c>
      <c r="S32" s="0" t="n">
        <v>0</v>
      </c>
      <c r="T32" s="0" t="n">
        <v>1</v>
      </c>
      <c r="U32" s="0" t="n">
        <v>0</v>
      </c>
      <c r="V32" s="0" t="n">
        <v>2</v>
      </c>
      <c r="W32" s="0" t="n">
        <v>0</v>
      </c>
      <c r="X32" s="0" t="n">
        <v>5</v>
      </c>
      <c r="Y32" s="0" t="n">
        <v>5035</v>
      </c>
      <c r="Z32" s="0" t="s">
        <v>34</v>
      </c>
      <c r="AA32" s="0" t="s">
        <v>37</v>
      </c>
      <c r="AB32" s="0" t="n">
        <v>0</v>
      </c>
      <c r="AC32" s="0" t="n">
        <v>0</v>
      </c>
    </row>
    <row r="33" customFormat="false" ht="15" hidden="false" customHeight="false" outlineLevel="0" collapsed="false">
      <c r="A33" s="0" t="n">
        <v>152</v>
      </c>
      <c r="B33" s="0" t="s">
        <v>29</v>
      </c>
      <c r="C33" s="0" t="s">
        <v>47</v>
      </c>
      <c r="D33" s="0" t="s">
        <v>31</v>
      </c>
      <c r="E33" s="0" t="s">
        <v>32</v>
      </c>
      <c r="F33" s="0" t="s">
        <v>34</v>
      </c>
      <c r="G33" s="0" t="s">
        <v>53</v>
      </c>
      <c r="H33" s="0" t="n">
        <v>3</v>
      </c>
      <c r="I33" s="0" t="n">
        <v>3</v>
      </c>
      <c r="J33" s="0" t="n">
        <v>0</v>
      </c>
      <c r="K33" s="0" t="n">
        <v>61.33</v>
      </c>
      <c r="L33" s="0" t="n">
        <v>64.28</v>
      </c>
      <c r="M33" s="0" t="n">
        <v>2.95</v>
      </c>
      <c r="N33" s="0" t="n">
        <v>42505</v>
      </c>
      <c r="O33" s="0" t="n">
        <v>1</v>
      </c>
      <c r="P33" s="0" t="n">
        <v>0</v>
      </c>
      <c r="Q33" s="0" t="s">
        <v>33</v>
      </c>
      <c r="R33" s="0" t="n">
        <v>3336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Z33" s="0" t="s">
        <v>33</v>
      </c>
      <c r="AA33" s="0" t="s">
        <v>40</v>
      </c>
      <c r="AB33" s="0" t="n">
        <v>0</v>
      </c>
      <c r="AC33" s="0" t="n">
        <v>0</v>
      </c>
    </row>
    <row r="34" customFormat="false" ht="15" hidden="false" customHeight="false" outlineLevel="0" collapsed="false">
      <c r="A34" s="0" t="n">
        <v>153</v>
      </c>
      <c r="B34" s="0" t="s">
        <v>36</v>
      </c>
      <c r="C34" s="0" t="s">
        <v>47</v>
      </c>
      <c r="D34" s="0" t="s">
        <v>31</v>
      </c>
      <c r="E34" s="0" t="s">
        <v>32</v>
      </c>
      <c r="F34" s="0" t="s">
        <v>33</v>
      </c>
      <c r="G34" s="0" t="s">
        <v>53</v>
      </c>
      <c r="H34" s="0" t="n">
        <v>4</v>
      </c>
      <c r="I34" s="0" t="n">
        <v>4</v>
      </c>
      <c r="J34" s="0" t="n">
        <v>0</v>
      </c>
      <c r="K34" s="0" t="n">
        <v>57.1</v>
      </c>
      <c r="L34" s="0" t="n">
        <v>59.71</v>
      </c>
      <c r="M34" s="0" t="n">
        <v>2.61</v>
      </c>
      <c r="N34" s="0" t="n">
        <v>98383</v>
      </c>
      <c r="O34" s="0" t="n">
        <v>3</v>
      </c>
      <c r="P34" s="0" t="n">
        <v>0</v>
      </c>
      <c r="Q34" s="0" t="s">
        <v>33</v>
      </c>
      <c r="R34" s="0" t="n">
        <v>3336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2</v>
      </c>
      <c r="X34" s="0" t="n">
        <v>0</v>
      </c>
      <c r="Z34" s="0" t="s">
        <v>33</v>
      </c>
      <c r="AA34" s="0" t="s">
        <v>40</v>
      </c>
      <c r="AB34" s="0" t="n">
        <v>0</v>
      </c>
      <c r="AC34" s="0" t="n">
        <v>0</v>
      </c>
    </row>
    <row r="35" customFormat="false" ht="15" hidden="false" customHeight="false" outlineLevel="0" collapsed="false">
      <c r="A35" s="0" t="n">
        <v>155</v>
      </c>
      <c r="B35" s="0" t="s">
        <v>29</v>
      </c>
      <c r="C35" s="0" t="s">
        <v>30</v>
      </c>
      <c r="D35" s="0" t="s">
        <v>31</v>
      </c>
      <c r="E35" s="0" t="s">
        <v>32</v>
      </c>
      <c r="F35" s="0" t="s">
        <v>34</v>
      </c>
      <c r="G35" s="0" t="s">
        <v>53</v>
      </c>
      <c r="H35" s="0" t="n">
        <v>3</v>
      </c>
      <c r="I35" s="0" t="n">
        <v>4</v>
      </c>
      <c r="J35" s="0" t="n">
        <v>1</v>
      </c>
      <c r="K35" s="0" t="n">
        <v>58.04</v>
      </c>
      <c r="L35" s="0" t="n">
        <v>49.92</v>
      </c>
      <c r="M35" s="0" t="n">
        <v>-8.12</v>
      </c>
      <c r="N35" s="0" t="n">
        <v>71919</v>
      </c>
      <c r="O35" s="0" t="n">
        <v>1</v>
      </c>
      <c r="P35" s="0" t="n">
        <v>0</v>
      </c>
      <c r="Q35" s="0" t="s">
        <v>33</v>
      </c>
      <c r="R35" s="0" t="n">
        <v>3336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4</v>
      </c>
      <c r="Y35" s="0" t="n">
        <v>4996</v>
      </c>
      <c r="Z35" s="0" t="s">
        <v>33</v>
      </c>
      <c r="AA35" s="0" t="s">
        <v>40</v>
      </c>
      <c r="AB35" s="0" t="n">
        <v>0</v>
      </c>
      <c r="AC35" s="0" t="n">
        <v>0</v>
      </c>
    </row>
    <row r="36" customFormat="false" ht="15" hidden="false" customHeight="false" outlineLevel="0" collapsed="false">
      <c r="A36" s="0" t="n">
        <v>160</v>
      </c>
      <c r="B36" s="0" t="s">
        <v>29</v>
      </c>
      <c r="C36" s="0" t="s">
        <v>38</v>
      </c>
      <c r="D36" s="0" t="s">
        <v>54</v>
      </c>
      <c r="E36" s="0" t="s">
        <v>50</v>
      </c>
      <c r="F36" s="0" t="s">
        <v>33</v>
      </c>
      <c r="G36" s="0" t="s">
        <v>55</v>
      </c>
      <c r="H36" s="0" t="n">
        <v>6</v>
      </c>
      <c r="I36" s="0" t="n">
        <v>6</v>
      </c>
      <c r="J36" s="0" t="n">
        <v>0</v>
      </c>
      <c r="K36" s="0" t="n">
        <v>47.42</v>
      </c>
      <c r="L36" s="0" t="n">
        <v>47.42</v>
      </c>
      <c r="M36" s="0" t="n">
        <v>0</v>
      </c>
      <c r="N36" s="0" t="n">
        <v>116837</v>
      </c>
      <c r="O36" s="0" t="n">
        <v>4</v>
      </c>
      <c r="P36" s="0" t="n">
        <v>0</v>
      </c>
      <c r="Q36" s="0" t="s">
        <v>34</v>
      </c>
      <c r="R36" s="0" t="n">
        <v>3336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2</v>
      </c>
      <c r="X36" s="0" t="n">
        <v>2</v>
      </c>
      <c r="Y36" s="0" t="n">
        <v>8753</v>
      </c>
      <c r="Z36" s="0" t="s">
        <v>34</v>
      </c>
      <c r="AA36" s="0" t="s">
        <v>37</v>
      </c>
      <c r="AB36" s="0" t="n">
        <v>0</v>
      </c>
      <c r="AC36" s="0" t="n">
        <v>0</v>
      </c>
    </row>
    <row r="37" customFormat="false" ht="15" hidden="false" customHeight="false" outlineLevel="0" collapsed="false">
      <c r="A37" s="0" t="n">
        <v>161</v>
      </c>
      <c r="B37" s="0" t="s">
        <v>29</v>
      </c>
      <c r="C37" s="0" t="s">
        <v>47</v>
      </c>
      <c r="D37" s="0" t="s">
        <v>31</v>
      </c>
      <c r="E37" s="0" t="s">
        <v>32</v>
      </c>
      <c r="F37" s="0" t="s">
        <v>34</v>
      </c>
      <c r="G37" s="0" t="s">
        <v>53</v>
      </c>
      <c r="H37" s="0" t="n">
        <v>3</v>
      </c>
      <c r="I37" s="0" t="n">
        <v>2</v>
      </c>
      <c r="J37" s="0" t="n">
        <v>-1</v>
      </c>
      <c r="K37" s="0" t="n">
        <v>61.07</v>
      </c>
      <c r="L37" s="0" t="n">
        <v>92.39</v>
      </c>
      <c r="M37" s="0" t="n">
        <v>31.32</v>
      </c>
      <c r="N37" s="0" t="n">
        <v>38605</v>
      </c>
      <c r="O37" s="0" t="n">
        <v>1</v>
      </c>
      <c r="P37" s="0" t="n">
        <v>0</v>
      </c>
      <c r="Q37" s="0" t="s">
        <v>33</v>
      </c>
      <c r="R37" s="0" t="n">
        <v>3336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2</v>
      </c>
      <c r="Y37" s="0" t="n">
        <v>2032</v>
      </c>
      <c r="Z37" s="0" t="s">
        <v>34</v>
      </c>
      <c r="AA37" s="0" t="s">
        <v>37</v>
      </c>
      <c r="AB37" s="0" t="n">
        <v>0</v>
      </c>
      <c r="AC37" s="0" t="n">
        <v>0</v>
      </c>
    </row>
    <row r="38" customFormat="false" ht="15" hidden="false" customHeight="false" outlineLevel="0" collapsed="false">
      <c r="A38" s="0" t="n">
        <v>164</v>
      </c>
      <c r="B38" s="0" t="s">
        <v>29</v>
      </c>
      <c r="C38" s="0" t="s">
        <v>30</v>
      </c>
      <c r="D38" s="0" t="s">
        <v>31</v>
      </c>
      <c r="E38" s="0" t="s">
        <v>32</v>
      </c>
      <c r="F38" s="0" t="s">
        <v>34</v>
      </c>
      <c r="G38" s="0" t="s">
        <v>53</v>
      </c>
      <c r="H38" s="0" t="n">
        <v>9</v>
      </c>
      <c r="I38" s="0" t="n">
        <v>9</v>
      </c>
      <c r="J38" s="0" t="n">
        <v>0</v>
      </c>
      <c r="K38" s="0" t="n">
        <v>47.19</v>
      </c>
      <c r="L38" s="0" t="n">
        <v>44.98</v>
      </c>
      <c r="M38" s="0" t="n">
        <v>-2.21</v>
      </c>
      <c r="N38" s="0" t="n">
        <v>90291</v>
      </c>
      <c r="O38" s="0" t="n">
        <v>1</v>
      </c>
      <c r="P38" s="0" t="n">
        <v>0</v>
      </c>
      <c r="Q38" s="0" t="s">
        <v>33</v>
      </c>
      <c r="R38" s="0" t="n">
        <v>3336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4</v>
      </c>
      <c r="Y38" s="0" t="n">
        <v>7522</v>
      </c>
      <c r="Z38" s="0" t="s">
        <v>33</v>
      </c>
      <c r="AA38" s="0" t="s">
        <v>40</v>
      </c>
      <c r="AB38" s="0" t="n">
        <v>0</v>
      </c>
      <c r="AC38" s="0" t="n">
        <v>0</v>
      </c>
    </row>
    <row r="39" customFormat="false" ht="15" hidden="false" customHeight="false" outlineLevel="0" collapsed="false">
      <c r="A39" s="0" t="n">
        <v>168</v>
      </c>
      <c r="B39" s="0" t="s">
        <v>42</v>
      </c>
      <c r="C39" s="0" t="s">
        <v>48</v>
      </c>
      <c r="D39" s="0" t="s">
        <v>31</v>
      </c>
      <c r="E39" s="0" t="s">
        <v>32</v>
      </c>
      <c r="F39" s="0" t="s">
        <v>34</v>
      </c>
      <c r="G39" s="0" t="s">
        <v>53</v>
      </c>
      <c r="H39" s="0" t="n">
        <v>4</v>
      </c>
      <c r="I39" s="0" t="n">
        <v>1</v>
      </c>
      <c r="J39" s="0" t="n">
        <v>-3</v>
      </c>
      <c r="K39" s="0" t="n">
        <v>68.32</v>
      </c>
      <c r="L39" s="0" t="n">
        <v>77.36</v>
      </c>
      <c r="M39" s="0" t="n">
        <v>9.04</v>
      </c>
      <c r="N39" s="0" t="n">
        <v>57808</v>
      </c>
      <c r="O39" s="0" t="n">
        <v>1</v>
      </c>
      <c r="P39" s="0" t="n">
        <v>0</v>
      </c>
      <c r="Q39" s="0" t="s">
        <v>33</v>
      </c>
      <c r="R39" s="0" t="n">
        <v>3336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Z39" s="0" t="s">
        <v>33</v>
      </c>
      <c r="AA39" s="0" t="s">
        <v>40</v>
      </c>
      <c r="AB39" s="0" t="n">
        <v>0</v>
      </c>
      <c r="AC39" s="0" t="n">
        <v>0</v>
      </c>
    </row>
    <row r="40" customFormat="false" ht="15" hidden="false" customHeight="false" outlineLevel="0" collapsed="false">
      <c r="A40" s="0" t="n">
        <v>171</v>
      </c>
      <c r="B40" s="0" t="s">
        <v>29</v>
      </c>
      <c r="C40" s="0" t="s">
        <v>38</v>
      </c>
      <c r="D40" s="0" t="s">
        <v>54</v>
      </c>
      <c r="E40" s="0" t="s">
        <v>50</v>
      </c>
      <c r="F40" s="0" t="s">
        <v>33</v>
      </c>
      <c r="H40" s="0" t="n">
        <v>2</v>
      </c>
      <c r="I40" s="0" t="n">
        <v>2</v>
      </c>
      <c r="J40" s="0" t="n">
        <v>0</v>
      </c>
      <c r="K40" s="0" t="n">
        <v>80.24</v>
      </c>
      <c r="L40" s="0" t="n">
        <v>80.24</v>
      </c>
      <c r="M40" s="0" t="n">
        <v>0</v>
      </c>
      <c r="N40" s="0" t="n">
        <v>73694</v>
      </c>
      <c r="O40" s="0" t="n">
        <v>4</v>
      </c>
      <c r="P40" s="0" t="n">
        <v>0</v>
      </c>
      <c r="Q40" s="0" t="s">
        <v>34</v>
      </c>
      <c r="R40" s="0" t="n">
        <v>2828</v>
      </c>
      <c r="S40" s="0" t="n">
        <v>0</v>
      </c>
      <c r="T40" s="0" t="n">
        <v>0</v>
      </c>
      <c r="U40" s="0" t="n">
        <v>0</v>
      </c>
      <c r="V40" s="0" t="n">
        <v>3</v>
      </c>
      <c r="W40" s="0" t="n">
        <v>0</v>
      </c>
      <c r="X40" s="0" t="n">
        <v>5</v>
      </c>
      <c r="Y40" s="0" t="n">
        <v>2660</v>
      </c>
      <c r="Z40" s="0" t="s">
        <v>34</v>
      </c>
      <c r="AA40" s="0" t="s">
        <v>35</v>
      </c>
      <c r="AB40" s="0" t="n">
        <v>1</v>
      </c>
      <c r="AC40" s="0" t="n">
        <v>0</v>
      </c>
    </row>
    <row r="41" customFormat="false" ht="15" hidden="false" customHeight="false" outlineLevel="0" collapsed="false">
      <c r="A41" s="0" t="n">
        <v>182</v>
      </c>
      <c r="B41" s="0" t="s">
        <v>29</v>
      </c>
      <c r="C41" s="0" t="s">
        <v>48</v>
      </c>
      <c r="D41" s="0" t="s">
        <v>31</v>
      </c>
      <c r="E41" s="0" t="s">
        <v>32</v>
      </c>
      <c r="F41" s="0" t="s">
        <v>33</v>
      </c>
      <c r="G41" s="0" t="s">
        <v>53</v>
      </c>
      <c r="H41" s="0" t="n">
        <v>2</v>
      </c>
      <c r="I41" s="0" t="n">
        <v>2</v>
      </c>
      <c r="J41" s="0" t="n">
        <v>0</v>
      </c>
      <c r="K41" s="0" t="n">
        <v>73.6</v>
      </c>
      <c r="L41" s="0" t="n">
        <v>79.91</v>
      </c>
      <c r="M41" s="0" t="n">
        <v>6.31</v>
      </c>
      <c r="N41" s="0" t="n">
        <v>97286</v>
      </c>
      <c r="O41" s="0" t="n">
        <v>3</v>
      </c>
      <c r="P41" s="0" t="n">
        <v>0</v>
      </c>
      <c r="Q41" s="0" t="s">
        <v>33</v>
      </c>
      <c r="R41" s="0" t="n">
        <v>3336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2</v>
      </c>
      <c r="X41" s="0" t="n">
        <v>0</v>
      </c>
      <c r="Z41" s="0" t="s">
        <v>33</v>
      </c>
      <c r="AA41" s="0" t="s">
        <v>40</v>
      </c>
      <c r="AB41" s="0" t="n">
        <v>0</v>
      </c>
      <c r="AC41" s="0" t="n">
        <v>0</v>
      </c>
    </row>
    <row r="42" customFormat="false" ht="15" hidden="false" customHeight="false" outlineLevel="0" collapsed="false">
      <c r="A42" s="0" t="n">
        <v>191</v>
      </c>
      <c r="B42" s="0" t="s">
        <v>29</v>
      </c>
      <c r="C42" s="0" t="s">
        <v>46</v>
      </c>
      <c r="D42" s="0" t="s">
        <v>31</v>
      </c>
      <c r="E42" s="0" t="s">
        <v>32</v>
      </c>
      <c r="F42" s="0" t="s">
        <v>34</v>
      </c>
      <c r="G42" s="0" t="s">
        <v>53</v>
      </c>
      <c r="H42" s="0" t="n">
        <v>8</v>
      </c>
      <c r="I42" s="0" t="n">
        <v>4</v>
      </c>
      <c r="J42" s="0" t="n">
        <v>-4</v>
      </c>
      <c r="K42" s="0" t="n">
        <v>42.8</v>
      </c>
      <c r="L42" s="0" t="n">
        <v>39.74</v>
      </c>
      <c r="M42" s="0" t="n">
        <v>-3.06</v>
      </c>
      <c r="N42" s="0" t="n">
        <v>80309</v>
      </c>
      <c r="O42" s="0" t="n">
        <v>1</v>
      </c>
      <c r="P42" s="0" t="n">
        <v>0</v>
      </c>
      <c r="Q42" s="0" t="s">
        <v>33</v>
      </c>
      <c r="R42" s="0" t="n">
        <v>3336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3</v>
      </c>
      <c r="Y42" s="0" t="n">
        <v>11004</v>
      </c>
      <c r="Z42" s="0" t="s">
        <v>33</v>
      </c>
      <c r="AA42" s="0" t="s">
        <v>40</v>
      </c>
      <c r="AB42" s="0" t="n">
        <v>0</v>
      </c>
      <c r="AC42" s="0" t="n">
        <v>0</v>
      </c>
    </row>
    <row r="43" customFormat="false" ht="15" hidden="false" customHeight="false" outlineLevel="0" collapsed="false">
      <c r="A43" s="0" t="n">
        <v>193</v>
      </c>
      <c r="B43" s="0" t="s">
        <v>29</v>
      </c>
      <c r="C43" s="0" t="s">
        <v>39</v>
      </c>
      <c r="D43" s="0" t="s">
        <v>31</v>
      </c>
      <c r="E43" s="0" t="s">
        <v>32</v>
      </c>
      <c r="F43" s="0" t="s">
        <v>34</v>
      </c>
      <c r="G43" s="0" t="s">
        <v>53</v>
      </c>
      <c r="H43" s="0" t="n">
        <v>4</v>
      </c>
      <c r="I43" s="0" t="n">
        <v>3</v>
      </c>
      <c r="J43" s="0" t="n">
        <v>-1</v>
      </c>
      <c r="K43" s="0" t="n">
        <v>61.95</v>
      </c>
      <c r="L43" s="0" t="n">
        <v>64.54</v>
      </c>
      <c r="M43" s="0" t="n">
        <v>2.59</v>
      </c>
      <c r="N43" s="0" t="n">
        <v>72768</v>
      </c>
      <c r="O43" s="0" t="n">
        <v>1</v>
      </c>
      <c r="P43" s="0" t="n">
        <v>0</v>
      </c>
      <c r="Q43" s="0" t="s">
        <v>33</v>
      </c>
      <c r="R43" s="0" t="n">
        <v>3336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4</v>
      </c>
      <c r="Y43" s="0" t="n">
        <v>4876</v>
      </c>
      <c r="Z43" s="0" t="s">
        <v>34</v>
      </c>
      <c r="AA43" s="0" t="s">
        <v>37</v>
      </c>
      <c r="AB43" s="0" t="n">
        <v>0</v>
      </c>
      <c r="AC43" s="0" t="n">
        <v>0</v>
      </c>
    </row>
    <row r="44" customFormat="false" ht="15" hidden="false" customHeight="false" outlineLevel="0" collapsed="false">
      <c r="A44" s="0" t="n">
        <v>203</v>
      </c>
      <c r="B44" s="0" t="s">
        <v>42</v>
      </c>
      <c r="C44" s="0" t="s">
        <v>30</v>
      </c>
      <c r="D44" s="0" t="s">
        <v>31</v>
      </c>
      <c r="E44" s="0" t="s">
        <v>32</v>
      </c>
      <c r="F44" s="0" t="s">
        <v>33</v>
      </c>
      <c r="G44" s="0" t="s">
        <v>53</v>
      </c>
      <c r="H44" s="0" t="n">
        <v>4</v>
      </c>
      <c r="I44" s="0" t="n">
        <v>4</v>
      </c>
      <c r="J44" s="0" t="n">
        <v>0</v>
      </c>
      <c r="K44" s="0" t="n">
        <v>63.82</v>
      </c>
      <c r="L44" s="0" t="n">
        <v>58.71</v>
      </c>
      <c r="M44" s="0" t="n">
        <v>-5.11</v>
      </c>
      <c r="N44" s="0" t="n">
        <v>100611</v>
      </c>
      <c r="O44" s="0" t="n">
        <v>2</v>
      </c>
      <c r="P44" s="0" t="n">
        <v>0</v>
      </c>
      <c r="Q44" s="0" t="s">
        <v>33</v>
      </c>
      <c r="R44" s="0" t="n">
        <v>3336</v>
      </c>
      <c r="S44" s="0" t="n">
        <v>0</v>
      </c>
      <c r="T44" s="0" t="n">
        <v>0</v>
      </c>
      <c r="U44" s="0" t="n">
        <v>0</v>
      </c>
      <c r="V44" s="0" t="n">
        <v>2</v>
      </c>
      <c r="W44" s="0" t="n">
        <v>0</v>
      </c>
      <c r="X44" s="0" t="n">
        <v>4</v>
      </c>
      <c r="Y44" s="0" t="n">
        <v>5303</v>
      </c>
      <c r="Z44" s="0" t="s">
        <v>33</v>
      </c>
      <c r="AA44" s="0" t="s">
        <v>40</v>
      </c>
      <c r="AB44" s="0" t="n">
        <v>0</v>
      </c>
      <c r="AC44" s="0" t="n">
        <v>0</v>
      </c>
    </row>
    <row r="45" customFormat="false" ht="15" hidden="false" customHeight="false" outlineLevel="0" collapsed="false">
      <c r="A45" s="0" t="n">
        <v>204</v>
      </c>
      <c r="B45" s="0" t="s">
        <v>36</v>
      </c>
      <c r="C45" s="0" t="s">
        <v>39</v>
      </c>
      <c r="D45" s="0" t="s">
        <v>31</v>
      </c>
      <c r="E45" s="0" t="s">
        <v>32</v>
      </c>
      <c r="F45" s="0" t="s">
        <v>34</v>
      </c>
      <c r="G45" s="0" t="s">
        <v>53</v>
      </c>
      <c r="H45" s="0" t="n">
        <v>5</v>
      </c>
      <c r="I45" s="0" t="n">
        <v>5</v>
      </c>
      <c r="J45" s="0" t="n">
        <v>0</v>
      </c>
      <c r="K45" s="0" t="n">
        <v>52.68</v>
      </c>
      <c r="L45" s="0" t="n">
        <v>52.69</v>
      </c>
      <c r="M45" s="0" t="n">
        <v>0.01</v>
      </c>
      <c r="N45" s="0" t="n">
        <v>64063</v>
      </c>
      <c r="O45" s="0" t="n">
        <v>1</v>
      </c>
      <c r="P45" s="0" t="n">
        <v>0</v>
      </c>
      <c r="Q45" s="0" t="s">
        <v>33</v>
      </c>
      <c r="R45" s="0" t="n">
        <v>3336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3</v>
      </c>
      <c r="Y45" s="0" t="n">
        <v>6006</v>
      </c>
      <c r="Z45" s="0" t="s">
        <v>33</v>
      </c>
      <c r="AA45" s="0" t="s">
        <v>40</v>
      </c>
      <c r="AB45" s="0" t="n">
        <v>0</v>
      </c>
      <c r="AC45" s="0" t="n">
        <v>0</v>
      </c>
    </row>
    <row r="46" customFormat="false" ht="15" hidden="false" customHeight="false" outlineLevel="0" collapsed="false">
      <c r="A46" s="0" t="n">
        <v>210</v>
      </c>
      <c r="B46" s="0" t="s">
        <v>42</v>
      </c>
      <c r="C46" s="0" t="s">
        <v>38</v>
      </c>
      <c r="D46" s="0" t="s">
        <v>54</v>
      </c>
      <c r="E46" s="0" t="s">
        <v>50</v>
      </c>
      <c r="F46" s="0" t="s">
        <v>33</v>
      </c>
      <c r="G46" s="0" t="s">
        <v>55</v>
      </c>
      <c r="H46" s="0" t="n">
        <v>2</v>
      </c>
      <c r="I46" s="0" t="n">
        <v>2</v>
      </c>
      <c r="J46" s="0" t="n">
        <v>0</v>
      </c>
      <c r="K46" s="0" t="n">
        <v>63.54</v>
      </c>
      <c r="L46" s="0" t="n">
        <v>63.54</v>
      </c>
      <c r="M46" s="0" t="n">
        <v>0</v>
      </c>
      <c r="N46" s="0" t="n">
        <v>94281</v>
      </c>
      <c r="O46" s="0" t="n">
        <v>4</v>
      </c>
      <c r="P46" s="0" t="n">
        <v>0</v>
      </c>
      <c r="Q46" s="0" t="s">
        <v>34</v>
      </c>
      <c r="R46" s="0" t="n">
        <v>3336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3</v>
      </c>
      <c r="X46" s="0" t="n">
        <v>3</v>
      </c>
      <c r="Y46" s="0" t="n">
        <v>3319</v>
      </c>
      <c r="Z46" s="0" t="s">
        <v>34</v>
      </c>
      <c r="AA46" s="0" t="s">
        <v>37</v>
      </c>
      <c r="AB46" s="0" t="n">
        <v>0</v>
      </c>
      <c r="AC46" s="0" t="n">
        <v>0</v>
      </c>
    </row>
    <row r="47" customFormat="false" ht="15" hidden="false" customHeight="false" outlineLevel="0" collapsed="false">
      <c r="A47" s="0" t="n">
        <v>217</v>
      </c>
      <c r="B47" s="0" t="s">
        <v>36</v>
      </c>
      <c r="C47" s="0" t="s">
        <v>39</v>
      </c>
      <c r="D47" s="0" t="s">
        <v>31</v>
      </c>
      <c r="E47" s="0" t="s">
        <v>32</v>
      </c>
      <c r="F47" s="0" t="s">
        <v>34</v>
      </c>
      <c r="G47" s="0" t="s">
        <v>53</v>
      </c>
      <c r="H47" s="0" t="n">
        <v>2</v>
      </c>
      <c r="I47" s="0" t="n">
        <v>2</v>
      </c>
      <c r="J47" s="0" t="n">
        <v>0</v>
      </c>
      <c r="K47" s="0" t="n">
        <v>57.14</v>
      </c>
      <c r="L47" s="0" t="n">
        <v>50.87</v>
      </c>
      <c r="M47" s="0" t="n">
        <v>-6.27</v>
      </c>
      <c r="N47" s="0" t="n">
        <v>64294</v>
      </c>
      <c r="O47" s="0" t="n">
        <v>1</v>
      </c>
      <c r="P47" s="0" t="n">
        <v>0</v>
      </c>
      <c r="Q47" s="0" t="s">
        <v>33</v>
      </c>
      <c r="R47" s="0" t="n">
        <v>3336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4</v>
      </c>
      <c r="Y47" s="0" t="n">
        <v>3590</v>
      </c>
      <c r="Z47" s="0" t="s">
        <v>34</v>
      </c>
      <c r="AA47" s="0" t="s">
        <v>37</v>
      </c>
      <c r="AB47" s="0" t="n">
        <v>0</v>
      </c>
      <c r="AC47" s="0" t="n">
        <v>0</v>
      </c>
    </row>
    <row r="48" customFormat="false" ht="15" hidden="false" customHeight="false" outlineLevel="0" collapsed="false">
      <c r="A48" s="0" t="n">
        <v>221</v>
      </c>
      <c r="B48" s="0" t="s">
        <v>29</v>
      </c>
      <c r="C48" s="0" t="s">
        <v>38</v>
      </c>
      <c r="D48" s="0" t="s">
        <v>31</v>
      </c>
      <c r="E48" s="0" t="s">
        <v>32</v>
      </c>
      <c r="F48" s="0" t="s">
        <v>34</v>
      </c>
      <c r="G48" s="0" t="s">
        <v>53</v>
      </c>
      <c r="H48" s="0" t="n">
        <v>1</v>
      </c>
      <c r="I48" s="0" t="n">
        <v>1</v>
      </c>
      <c r="J48" s="0" t="n">
        <v>0</v>
      </c>
      <c r="K48" s="0" t="n">
        <v>94.95</v>
      </c>
      <c r="L48" s="0" t="n">
        <v>94.95</v>
      </c>
      <c r="M48" s="0" t="n">
        <v>0</v>
      </c>
      <c r="N48" s="0" t="n">
        <v>32874</v>
      </c>
      <c r="O48" s="0" t="n">
        <v>1</v>
      </c>
      <c r="P48" s="0" t="n">
        <v>0</v>
      </c>
      <c r="Q48" s="0" t="s">
        <v>33</v>
      </c>
      <c r="R48" s="0" t="n">
        <v>3336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2</v>
      </c>
      <c r="Y48" s="0" t="n">
        <v>1758</v>
      </c>
      <c r="Z48" s="0" t="s">
        <v>33</v>
      </c>
      <c r="AA48" s="0" t="s">
        <v>40</v>
      </c>
      <c r="AB48" s="0" t="n">
        <v>0</v>
      </c>
      <c r="AC48" s="0" t="n">
        <v>0</v>
      </c>
    </row>
    <row r="49" customFormat="false" ht="15" hidden="false" customHeight="false" outlineLevel="0" collapsed="false">
      <c r="A49" s="0" t="n">
        <v>227</v>
      </c>
      <c r="B49" s="0" t="s">
        <v>42</v>
      </c>
      <c r="C49" s="0" t="s">
        <v>39</v>
      </c>
      <c r="D49" s="0" t="s">
        <v>31</v>
      </c>
      <c r="E49" s="0" t="s">
        <v>32</v>
      </c>
      <c r="F49" s="0" t="s">
        <v>34</v>
      </c>
      <c r="G49" s="0" t="s">
        <v>53</v>
      </c>
      <c r="H49" s="0" t="n">
        <v>6</v>
      </c>
      <c r="I49" s="0" t="n">
        <v>6</v>
      </c>
      <c r="J49" s="0" t="n">
        <v>0</v>
      </c>
      <c r="K49" s="0" t="n">
        <v>62.99</v>
      </c>
      <c r="L49" s="0" t="n">
        <v>43.37</v>
      </c>
      <c r="M49" s="0" t="n">
        <v>-19.62</v>
      </c>
      <c r="N49" s="0" t="n">
        <v>57836</v>
      </c>
      <c r="O49" s="0" t="n">
        <v>1</v>
      </c>
      <c r="P49" s="0" t="n">
        <v>0</v>
      </c>
      <c r="Q49" s="0" t="s">
        <v>33</v>
      </c>
      <c r="R49" s="0" t="n">
        <v>3336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2</v>
      </c>
      <c r="Y49" s="0" t="n">
        <v>8581</v>
      </c>
      <c r="Z49" s="0" t="s">
        <v>33</v>
      </c>
      <c r="AA49" s="0" t="s">
        <v>40</v>
      </c>
      <c r="AB49" s="0" t="n">
        <v>0</v>
      </c>
      <c r="AC49" s="0" t="n">
        <v>0</v>
      </c>
    </row>
    <row r="50" customFormat="false" ht="15" hidden="false" customHeight="false" outlineLevel="0" collapsed="false">
      <c r="A50" s="0" t="n">
        <v>230</v>
      </c>
      <c r="B50" s="0" t="s">
        <v>42</v>
      </c>
      <c r="C50" s="0" t="s">
        <v>30</v>
      </c>
      <c r="D50" s="0" t="s">
        <v>31</v>
      </c>
      <c r="E50" s="0" t="s">
        <v>32</v>
      </c>
      <c r="F50" s="0" t="s">
        <v>34</v>
      </c>
      <c r="G50" s="0" t="s">
        <v>53</v>
      </c>
      <c r="H50" s="0" t="n">
        <v>4</v>
      </c>
      <c r="I50" s="0" t="n">
        <v>4</v>
      </c>
      <c r="J50" s="0" t="n">
        <v>0</v>
      </c>
      <c r="K50" s="0" t="n">
        <v>52.82</v>
      </c>
      <c r="L50" s="0" t="n">
        <v>46.24</v>
      </c>
      <c r="M50" s="0" t="n">
        <v>-6.58</v>
      </c>
      <c r="N50" s="0" t="n">
        <v>77635</v>
      </c>
      <c r="O50" s="0" t="n">
        <v>1</v>
      </c>
      <c r="P50" s="0" t="n">
        <v>0</v>
      </c>
      <c r="Q50" s="0" t="s">
        <v>33</v>
      </c>
      <c r="R50" s="0" t="n">
        <v>3336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4</v>
      </c>
      <c r="Y50" s="0" t="n">
        <v>5405</v>
      </c>
      <c r="Z50" s="0" t="s">
        <v>33</v>
      </c>
      <c r="AA50" s="0" t="s">
        <v>40</v>
      </c>
      <c r="AB50" s="0" t="n">
        <v>0</v>
      </c>
      <c r="AC50" s="0" t="n">
        <v>0</v>
      </c>
    </row>
    <row r="51" customFormat="false" ht="15" hidden="false" customHeight="false" outlineLevel="0" collapsed="false">
      <c r="A51" s="0" t="n">
        <v>238</v>
      </c>
      <c r="B51" s="0" t="s">
        <v>29</v>
      </c>
      <c r="C51" s="0" t="s">
        <v>43</v>
      </c>
      <c r="D51" s="0" t="s">
        <v>31</v>
      </c>
      <c r="E51" s="0" t="s">
        <v>32</v>
      </c>
      <c r="F51" s="0" t="s">
        <v>33</v>
      </c>
      <c r="G51" s="0" t="s">
        <v>53</v>
      </c>
      <c r="H51" s="0" t="n">
        <v>5</v>
      </c>
      <c r="I51" s="0" t="n">
        <v>4</v>
      </c>
      <c r="J51" s="0" t="n">
        <v>-1</v>
      </c>
      <c r="K51" s="0" t="n">
        <v>49.25</v>
      </c>
      <c r="L51" s="0" t="n">
        <v>43.94</v>
      </c>
      <c r="M51" s="0" t="n">
        <v>-5.31</v>
      </c>
      <c r="N51" s="0" t="n">
        <v>272373</v>
      </c>
      <c r="O51" s="0" t="n">
        <v>3</v>
      </c>
      <c r="P51" s="0" t="n">
        <v>0</v>
      </c>
      <c r="Q51" s="0" t="s">
        <v>33</v>
      </c>
      <c r="R51" s="0" t="n">
        <v>3336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Z51" s="0" t="s">
        <v>34</v>
      </c>
      <c r="AA51" s="0" t="s">
        <v>35</v>
      </c>
      <c r="AB51" s="0" t="n">
        <v>1</v>
      </c>
      <c r="AC51" s="0" t="n">
        <v>0</v>
      </c>
    </row>
    <row r="52" customFormat="false" ht="15" hidden="false" customHeight="false" outlineLevel="0" collapsed="false">
      <c r="A52" s="0" t="n">
        <v>243</v>
      </c>
      <c r="B52" s="0" t="s">
        <v>29</v>
      </c>
      <c r="C52" s="0" t="s">
        <v>39</v>
      </c>
      <c r="D52" s="0" t="s">
        <v>31</v>
      </c>
      <c r="E52" s="0" t="s">
        <v>32</v>
      </c>
      <c r="F52" s="0" t="s">
        <v>34</v>
      </c>
      <c r="G52" s="0" t="s">
        <v>53</v>
      </c>
      <c r="H52" s="0" t="n">
        <v>4</v>
      </c>
      <c r="I52" s="0" t="n">
        <v>4</v>
      </c>
      <c r="J52" s="0" t="n">
        <v>0</v>
      </c>
      <c r="K52" s="0" t="n">
        <v>53.99</v>
      </c>
      <c r="L52" s="0" t="n">
        <v>32.42</v>
      </c>
      <c r="M52" s="0" t="n">
        <v>-21.57</v>
      </c>
      <c r="N52" s="0" t="n">
        <v>143935</v>
      </c>
      <c r="O52" s="0" t="n">
        <v>1</v>
      </c>
      <c r="P52" s="0" t="n">
        <v>0</v>
      </c>
      <c r="Q52" s="0" t="s">
        <v>33</v>
      </c>
      <c r="R52" s="0" t="n">
        <v>3334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2</v>
      </c>
      <c r="Y52" s="0" t="n">
        <v>7502</v>
      </c>
      <c r="Z52" s="0" t="s">
        <v>33</v>
      </c>
      <c r="AA52" s="0" t="s">
        <v>40</v>
      </c>
      <c r="AB52" s="0" t="n">
        <v>0</v>
      </c>
      <c r="AC52" s="0" t="n">
        <v>0</v>
      </c>
    </row>
    <row r="53" customFormat="false" ht="15" hidden="false" customHeight="false" outlineLevel="0" collapsed="false">
      <c r="A53" s="0" t="n">
        <v>248</v>
      </c>
      <c r="B53" s="0" t="s">
        <v>36</v>
      </c>
      <c r="C53" s="0" t="s">
        <v>30</v>
      </c>
      <c r="D53" s="0" t="s">
        <v>31</v>
      </c>
      <c r="E53" s="0" t="s">
        <v>32</v>
      </c>
      <c r="F53" s="0" t="s">
        <v>34</v>
      </c>
      <c r="G53" s="0" t="s">
        <v>53</v>
      </c>
      <c r="H53" s="0" t="n">
        <v>7</v>
      </c>
      <c r="I53" s="0" t="n">
        <v>8</v>
      </c>
      <c r="J53" s="0" t="n">
        <v>1</v>
      </c>
      <c r="K53" s="0" t="n">
        <v>51.63</v>
      </c>
      <c r="L53" s="0" t="n">
        <v>43.67</v>
      </c>
      <c r="M53" s="0" t="n">
        <v>-7.96</v>
      </c>
      <c r="N53" s="0" t="n">
        <v>93940</v>
      </c>
      <c r="O53" s="0" t="n">
        <v>1</v>
      </c>
      <c r="P53" s="0" t="n">
        <v>0</v>
      </c>
      <c r="Q53" s="0" t="s">
        <v>33</v>
      </c>
      <c r="R53" s="0" t="n">
        <v>3334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4</v>
      </c>
      <c r="Y53" s="0" t="n">
        <v>6320</v>
      </c>
      <c r="Z53" s="0" t="s">
        <v>33</v>
      </c>
      <c r="AA53" s="0" t="s">
        <v>40</v>
      </c>
      <c r="AB53" s="0" t="n">
        <v>0</v>
      </c>
      <c r="AC53" s="0" t="n">
        <v>0</v>
      </c>
    </row>
    <row r="54" customFormat="false" ht="15" hidden="false" customHeight="false" outlineLevel="0" collapsed="false">
      <c r="A54" s="0" t="n">
        <v>249</v>
      </c>
      <c r="B54" s="0" t="s">
        <v>42</v>
      </c>
      <c r="C54" s="0" t="s">
        <v>39</v>
      </c>
      <c r="D54" s="0" t="s">
        <v>31</v>
      </c>
      <c r="E54" s="0" t="s">
        <v>32</v>
      </c>
      <c r="F54" s="0" t="s">
        <v>34</v>
      </c>
      <c r="G54" s="0" t="s">
        <v>53</v>
      </c>
      <c r="H54" s="0" t="n">
        <v>4</v>
      </c>
      <c r="I54" s="0" t="n">
        <v>4</v>
      </c>
      <c r="J54" s="0" t="n">
        <v>0</v>
      </c>
      <c r="K54" s="0" t="n">
        <v>62.79</v>
      </c>
      <c r="L54" s="0" t="n">
        <v>57.69</v>
      </c>
      <c r="M54" s="0" t="n">
        <v>-5.1</v>
      </c>
      <c r="N54" s="0" t="n">
        <v>62680</v>
      </c>
      <c r="O54" s="0" t="n">
        <v>1</v>
      </c>
      <c r="P54" s="0" t="n">
        <v>0</v>
      </c>
      <c r="Q54" s="0" t="s">
        <v>33</v>
      </c>
      <c r="R54" s="0" t="n">
        <v>3334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4</v>
      </c>
      <c r="Y54" s="0" t="n">
        <v>5028</v>
      </c>
      <c r="Z54" s="0" t="s">
        <v>33</v>
      </c>
      <c r="AA54" s="0" t="s">
        <v>40</v>
      </c>
      <c r="AB54" s="0" t="n">
        <v>0</v>
      </c>
      <c r="AC54" s="0" t="n">
        <v>0</v>
      </c>
    </row>
    <row r="55" customFormat="false" ht="15" hidden="false" customHeight="false" outlineLevel="0" collapsed="false">
      <c r="A55" s="0" t="n">
        <v>251</v>
      </c>
      <c r="B55" s="0" t="s">
        <v>42</v>
      </c>
      <c r="C55" s="0" t="s">
        <v>48</v>
      </c>
      <c r="D55" s="0" t="s">
        <v>31</v>
      </c>
      <c r="E55" s="0" t="s">
        <v>32</v>
      </c>
      <c r="F55" s="0" t="s">
        <v>34</v>
      </c>
      <c r="G55" s="0" t="s">
        <v>53</v>
      </c>
      <c r="H55" s="0" t="n">
        <v>2</v>
      </c>
      <c r="I55" s="0" t="n">
        <v>1</v>
      </c>
      <c r="J55" s="0" t="n">
        <v>-1</v>
      </c>
      <c r="K55" s="0" t="n">
        <v>69.89</v>
      </c>
      <c r="L55" s="0" t="n">
        <v>80.85</v>
      </c>
      <c r="M55" s="0" t="n">
        <v>10.96</v>
      </c>
      <c r="N55" s="0" t="n">
        <v>37858</v>
      </c>
      <c r="O55" s="0" t="n">
        <v>1</v>
      </c>
      <c r="P55" s="0" t="n">
        <v>0</v>
      </c>
      <c r="Q55" s="0" t="s">
        <v>33</v>
      </c>
      <c r="R55" s="0" t="n">
        <v>3334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Z55" s="0" t="s">
        <v>33</v>
      </c>
      <c r="AA55" s="0" t="s">
        <v>40</v>
      </c>
      <c r="AB55" s="0" t="n">
        <v>0</v>
      </c>
      <c r="AC55" s="0" t="n">
        <v>0</v>
      </c>
    </row>
    <row r="56" customFormat="false" ht="15" hidden="false" customHeight="false" outlineLevel="0" collapsed="false">
      <c r="A56" s="0" t="n">
        <v>257</v>
      </c>
      <c r="B56" s="0" t="s">
        <v>29</v>
      </c>
      <c r="C56" s="0" t="s">
        <v>39</v>
      </c>
      <c r="D56" s="0" t="s">
        <v>31</v>
      </c>
      <c r="E56" s="0" t="s">
        <v>32</v>
      </c>
      <c r="F56" s="0" t="s">
        <v>34</v>
      </c>
      <c r="G56" s="0" t="s">
        <v>53</v>
      </c>
      <c r="H56" s="0" t="n">
        <v>3</v>
      </c>
      <c r="I56" s="0" t="n">
        <v>3</v>
      </c>
      <c r="J56" s="0" t="n">
        <v>0</v>
      </c>
      <c r="K56" s="0" t="n">
        <v>65.2</v>
      </c>
      <c r="L56" s="0" t="n">
        <v>60</v>
      </c>
      <c r="M56" s="0" t="n">
        <v>-5.2</v>
      </c>
      <c r="N56" s="0" t="n">
        <v>80315</v>
      </c>
      <c r="O56" s="0" t="n">
        <v>1</v>
      </c>
      <c r="P56" s="0" t="n">
        <v>0</v>
      </c>
      <c r="Q56" s="0" t="s">
        <v>33</v>
      </c>
      <c r="R56" s="0" t="n">
        <v>3334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4</v>
      </c>
      <c r="Y56" s="0" t="n">
        <v>5130</v>
      </c>
      <c r="Z56" s="0" t="s">
        <v>33</v>
      </c>
      <c r="AA56" s="0" t="s">
        <v>40</v>
      </c>
      <c r="AB56" s="0" t="n">
        <v>0</v>
      </c>
      <c r="AC56" s="0" t="n">
        <v>0</v>
      </c>
    </row>
    <row r="57" customFormat="false" ht="15" hidden="false" customHeight="false" outlineLevel="0" collapsed="false">
      <c r="A57" s="0" t="n">
        <v>258</v>
      </c>
      <c r="B57" s="0" t="s">
        <v>29</v>
      </c>
      <c r="C57" s="0" t="s">
        <v>47</v>
      </c>
      <c r="D57" s="0" t="s">
        <v>31</v>
      </c>
      <c r="E57" s="0" t="s">
        <v>32</v>
      </c>
      <c r="F57" s="0" t="s">
        <v>34</v>
      </c>
      <c r="G57" s="0" t="s">
        <v>53</v>
      </c>
      <c r="H57" s="0" t="n">
        <v>4</v>
      </c>
      <c r="I57" s="0" t="n">
        <v>4</v>
      </c>
      <c r="J57" s="0" t="n">
        <v>0</v>
      </c>
      <c r="K57" s="0" t="n">
        <v>54.13</v>
      </c>
      <c r="L57" s="0" t="n">
        <v>60.4</v>
      </c>
      <c r="M57" s="0" t="n">
        <v>6.27</v>
      </c>
      <c r="N57" s="0" t="n">
        <v>40927</v>
      </c>
      <c r="O57" s="0" t="n">
        <v>1</v>
      </c>
      <c r="P57" s="0" t="n">
        <v>0</v>
      </c>
      <c r="Q57" s="0" t="s">
        <v>33</v>
      </c>
      <c r="R57" s="0" t="n">
        <v>3334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Z57" s="0" t="s">
        <v>34</v>
      </c>
      <c r="AA57" s="0" t="s">
        <v>37</v>
      </c>
      <c r="AB57" s="0" t="n">
        <v>0</v>
      </c>
      <c r="AC57" s="0" t="n">
        <v>0</v>
      </c>
    </row>
    <row r="58" customFormat="false" ht="15" hidden="false" customHeight="false" outlineLevel="0" collapsed="false">
      <c r="A58" s="0" t="n">
        <v>259</v>
      </c>
      <c r="B58" s="0" t="s">
        <v>29</v>
      </c>
      <c r="C58" s="0" t="s">
        <v>47</v>
      </c>
      <c r="D58" s="0" t="s">
        <v>31</v>
      </c>
      <c r="E58" s="0" t="s">
        <v>32</v>
      </c>
      <c r="F58" s="0" t="s">
        <v>34</v>
      </c>
      <c r="G58" s="0" t="s">
        <v>53</v>
      </c>
      <c r="H58" s="0" t="n">
        <v>4</v>
      </c>
      <c r="I58" s="0" t="n">
        <v>4</v>
      </c>
      <c r="J58" s="0" t="n">
        <v>0</v>
      </c>
      <c r="K58" s="0" t="n">
        <v>60.98</v>
      </c>
      <c r="L58" s="0" t="n">
        <v>67.18</v>
      </c>
      <c r="M58" s="0" t="n">
        <v>6.2</v>
      </c>
      <c r="N58" s="0" t="n">
        <v>49696</v>
      </c>
      <c r="O58" s="0" t="n">
        <v>1</v>
      </c>
      <c r="P58" s="0" t="n">
        <v>0</v>
      </c>
      <c r="Q58" s="0" t="s">
        <v>33</v>
      </c>
      <c r="R58" s="0" t="n">
        <v>3334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Z58" s="0" t="s">
        <v>34</v>
      </c>
      <c r="AA58" s="0" t="s">
        <v>37</v>
      </c>
      <c r="AB58" s="0" t="n">
        <v>0</v>
      </c>
      <c r="AC58" s="0" t="n">
        <v>0</v>
      </c>
    </row>
    <row r="59" customFormat="false" ht="15" hidden="false" customHeight="false" outlineLevel="0" collapsed="false">
      <c r="A59" s="0" t="n">
        <v>263</v>
      </c>
      <c r="B59" s="0" t="s">
        <v>29</v>
      </c>
      <c r="C59" s="0" t="s">
        <v>30</v>
      </c>
      <c r="D59" s="0" t="s">
        <v>31</v>
      </c>
      <c r="E59" s="0" t="s">
        <v>32</v>
      </c>
      <c r="F59" s="0" t="s">
        <v>34</v>
      </c>
      <c r="G59" s="0" t="s">
        <v>53</v>
      </c>
      <c r="H59" s="0" t="n">
        <v>6</v>
      </c>
      <c r="I59" s="0" t="n">
        <v>6</v>
      </c>
      <c r="J59" s="0" t="n">
        <v>0</v>
      </c>
      <c r="K59" s="0" t="n">
        <v>58.55</v>
      </c>
      <c r="L59" s="0" t="n">
        <v>49.89</v>
      </c>
      <c r="M59" s="0" t="n">
        <v>-8.66</v>
      </c>
      <c r="N59" s="0" t="n">
        <v>69448</v>
      </c>
      <c r="O59" s="0" t="n">
        <v>1</v>
      </c>
      <c r="P59" s="0" t="n">
        <v>0</v>
      </c>
      <c r="Q59" s="0" t="s">
        <v>33</v>
      </c>
      <c r="R59" s="0" t="n">
        <v>3334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4</v>
      </c>
      <c r="Y59" s="0" t="n">
        <v>4304</v>
      </c>
      <c r="Z59" s="0" t="s">
        <v>34</v>
      </c>
      <c r="AA59" s="0" t="s">
        <v>37</v>
      </c>
      <c r="AB59" s="0" t="n">
        <v>0</v>
      </c>
      <c r="AC59" s="0" t="n">
        <v>0</v>
      </c>
    </row>
    <row r="60" customFormat="false" ht="15" hidden="false" customHeight="false" outlineLevel="0" collapsed="false">
      <c r="A60" s="0" t="n">
        <v>265</v>
      </c>
      <c r="B60" s="0" t="s">
        <v>36</v>
      </c>
      <c r="C60" s="0" t="s">
        <v>45</v>
      </c>
      <c r="D60" s="0" t="s">
        <v>31</v>
      </c>
      <c r="E60" s="0" t="s">
        <v>32</v>
      </c>
      <c r="F60" s="0" t="s">
        <v>34</v>
      </c>
      <c r="G60" s="0" t="s">
        <v>53</v>
      </c>
      <c r="H60" s="0" t="n">
        <v>7</v>
      </c>
      <c r="I60" s="0" t="n">
        <v>8</v>
      </c>
      <c r="J60" s="0" t="n">
        <v>1</v>
      </c>
      <c r="K60" s="0" t="n">
        <v>30.88</v>
      </c>
      <c r="L60" s="0" t="n">
        <v>22.74</v>
      </c>
      <c r="M60" s="0" t="n">
        <v>-8.14</v>
      </c>
      <c r="N60" s="0" t="n">
        <v>181386</v>
      </c>
      <c r="O60" s="0" t="n">
        <v>1</v>
      </c>
      <c r="P60" s="0" t="n">
        <v>0</v>
      </c>
      <c r="Q60" s="0" t="s">
        <v>33</v>
      </c>
      <c r="R60" s="0" t="n">
        <v>3334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Z60" s="0" t="s">
        <v>34</v>
      </c>
      <c r="AA60" s="0" t="s">
        <v>37</v>
      </c>
      <c r="AB60" s="0" t="n">
        <v>0</v>
      </c>
      <c r="AC60" s="0" t="n">
        <v>0</v>
      </c>
    </row>
    <row r="61" customFormat="false" ht="15" hidden="false" customHeight="false" outlineLevel="0" collapsed="false">
      <c r="A61" s="0" t="n">
        <v>270</v>
      </c>
      <c r="B61" s="0" t="s">
        <v>29</v>
      </c>
      <c r="C61" s="0" t="s">
        <v>44</v>
      </c>
      <c r="D61" s="0" t="s">
        <v>31</v>
      </c>
      <c r="E61" s="0" t="s">
        <v>32</v>
      </c>
      <c r="F61" s="0" t="s">
        <v>33</v>
      </c>
      <c r="G61" s="0" t="s">
        <v>53</v>
      </c>
      <c r="H61" s="0" t="n">
        <v>3</v>
      </c>
      <c r="I61" s="0" t="n">
        <v>3</v>
      </c>
      <c r="J61" s="0" t="n">
        <v>0</v>
      </c>
      <c r="K61" s="0" t="n">
        <v>62.14</v>
      </c>
      <c r="L61" s="0" t="n">
        <v>60.91</v>
      </c>
      <c r="M61" s="0" t="n">
        <v>-1.23</v>
      </c>
      <c r="N61" s="0" t="n">
        <v>141896</v>
      </c>
      <c r="O61" s="0" t="n">
        <v>3</v>
      </c>
      <c r="P61" s="0" t="n">
        <v>0</v>
      </c>
      <c r="Q61" s="0" t="s">
        <v>33</v>
      </c>
      <c r="R61" s="0" t="n">
        <v>3336</v>
      </c>
      <c r="S61" s="0" t="n">
        <v>0</v>
      </c>
      <c r="T61" s="0" t="n">
        <v>1</v>
      </c>
      <c r="U61" s="0" t="n">
        <v>0</v>
      </c>
      <c r="V61" s="0" t="n">
        <v>2</v>
      </c>
      <c r="W61" s="0" t="n">
        <v>0</v>
      </c>
      <c r="X61" s="0" t="n">
        <v>5</v>
      </c>
      <c r="Y61" s="0" t="n">
        <v>5400</v>
      </c>
      <c r="Z61" s="0" t="s">
        <v>34</v>
      </c>
      <c r="AA61" s="0" t="s">
        <v>37</v>
      </c>
      <c r="AB61" s="0" t="n">
        <v>0</v>
      </c>
      <c r="AC61" s="0" t="n">
        <v>0</v>
      </c>
    </row>
    <row r="62" customFormat="false" ht="15" hidden="false" customHeight="false" outlineLevel="0" collapsed="false">
      <c r="A62" s="0" t="n">
        <v>274</v>
      </c>
      <c r="B62" s="0" t="s">
        <v>29</v>
      </c>
      <c r="C62" s="0" t="s">
        <v>30</v>
      </c>
      <c r="D62" s="0" t="s">
        <v>31</v>
      </c>
      <c r="E62" s="0" t="s">
        <v>32</v>
      </c>
      <c r="F62" s="0" t="s">
        <v>33</v>
      </c>
      <c r="G62" s="0" t="s">
        <v>53</v>
      </c>
      <c r="H62" s="0" t="n">
        <v>10</v>
      </c>
      <c r="I62" s="0" t="n">
        <v>8</v>
      </c>
      <c r="J62" s="0" t="n">
        <v>-2</v>
      </c>
      <c r="K62" s="0" t="n">
        <v>36.21</v>
      </c>
      <c r="L62" s="0" t="n">
        <v>33.98</v>
      </c>
      <c r="M62" s="0" t="n">
        <v>-2.23</v>
      </c>
      <c r="N62" s="0" t="n">
        <v>196732</v>
      </c>
      <c r="O62" s="0" t="n">
        <v>2</v>
      </c>
      <c r="P62" s="0" t="n">
        <v>0</v>
      </c>
      <c r="Q62" s="0" t="s">
        <v>33</v>
      </c>
      <c r="R62" s="0" t="n">
        <v>3336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4</v>
      </c>
      <c r="Y62" s="0" t="n">
        <v>12220</v>
      </c>
      <c r="Z62" s="0" t="s">
        <v>33</v>
      </c>
      <c r="AA62" s="0" t="s">
        <v>40</v>
      </c>
      <c r="AB62" s="0" t="n">
        <v>0</v>
      </c>
      <c r="AC62" s="0" t="n">
        <v>0</v>
      </c>
    </row>
    <row r="63" customFormat="false" ht="15" hidden="false" customHeight="false" outlineLevel="0" collapsed="false">
      <c r="A63" s="0" t="n">
        <v>275</v>
      </c>
      <c r="B63" s="0" t="s">
        <v>42</v>
      </c>
      <c r="C63" s="0" t="s">
        <v>38</v>
      </c>
      <c r="D63" s="0" t="s">
        <v>31</v>
      </c>
      <c r="E63" s="0" t="s">
        <v>32</v>
      </c>
      <c r="F63" s="0" t="s">
        <v>33</v>
      </c>
      <c r="G63" s="0" t="s">
        <v>53</v>
      </c>
      <c r="H63" s="0" t="n">
        <v>1</v>
      </c>
      <c r="I63" s="0" t="n">
        <v>1</v>
      </c>
      <c r="J63" s="0" t="n">
        <v>0</v>
      </c>
      <c r="K63" s="0" t="n">
        <v>102.46</v>
      </c>
      <c r="L63" s="0" t="n">
        <v>102.46</v>
      </c>
      <c r="M63" s="0" t="n">
        <v>0</v>
      </c>
      <c r="N63" s="0" t="n">
        <v>59834</v>
      </c>
      <c r="O63" s="0" t="n">
        <v>2</v>
      </c>
      <c r="P63" s="0" t="n">
        <v>0</v>
      </c>
      <c r="Q63" s="0" t="s">
        <v>33</v>
      </c>
      <c r="R63" s="0" t="n">
        <v>3336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1</v>
      </c>
      <c r="X63" s="0" t="n">
        <v>2</v>
      </c>
      <c r="Y63" s="0" t="n">
        <v>1396</v>
      </c>
      <c r="Z63" s="0" t="s">
        <v>34</v>
      </c>
      <c r="AA63" s="0" t="s">
        <v>37</v>
      </c>
      <c r="AB63" s="0" t="n">
        <v>0</v>
      </c>
      <c r="AC63" s="0" t="n">
        <v>0</v>
      </c>
    </row>
    <row r="64" customFormat="false" ht="15" hidden="false" customHeight="false" outlineLevel="0" collapsed="false">
      <c r="A64" s="0" t="n">
        <v>292</v>
      </c>
      <c r="B64" s="0" t="s">
        <v>29</v>
      </c>
      <c r="C64" s="0" t="s">
        <v>39</v>
      </c>
      <c r="D64" s="0" t="s">
        <v>31</v>
      </c>
      <c r="E64" s="0" t="s">
        <v>32</v>
      </c>
      <c r="F64" s="0" t="s">
        <v>34</v>
      </c>
      <c r="G64" s="0" t="s">
        <v>53</v>
      </c>
      <c r="H64" s="0" t="n">
        <v>2</v>
      </c>
      <c r="I64" s="0" t="n">
        <v>2</v>
      </c>
      <c r="J64" s="0" t="n">
        <v>0</v>
      </c>
      <c r="K64" s="0" t="n">
        <v>72.67</v>
      </c>
      <c r="L64" s="0" t="n">
        <v>65.38</v>
      </c>
      <c r="M64" s="0" t="n">
        <v>-7.29</v>
      </c>
      <c r="N64" s="0" t="n">
        <v>38311</v>
      </c>
      <c r="O64" s="0" t="n">
        <v>1</v>
      </c>
      <c r="P64" s="0" t="n">
        <v>0</v>
      </c>
      <c r="Q64" s="0" t="s">
        <v>33</v>
      </c>
      <c r="R64" s="0" t="n">
        <v>3336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2</v>
      </c>
      <c r="Y64" s="0" t="n">
        <v>3544</v>
      </c>
      <c r="Z64" s="0" t="s">
        <v>34</v>
      </c>
      <c r="AA64" s="0" t="s">
        <v>37</v>
      </c>
      <c r="AB64" s="0" t="n">
        <v>0</v>
      </c>
      <c r="AC64" s="0" t="n">
        <v>0</v>
      </c>
    </row>
    <row r="65" customFormat="false" ht="15" hidden="false" customHeight="false" outlineLevel="0" collapsed="false">
      <c r="A65" s="0" t="n">
        <v>293</v>
      </c>
      <c r="B65" s="0" t="s">
        <v>29</v>
      </c>
      <c r="C65" s="0" t="s">
        <v>46</v>
      </c>
      <c r="D65" s="0" t="s">
        <v>54</v>
      </c>
      <c r="E65" s="0" t="s">
        <v>50</v>
      </c>
      <c r="F65" s="0" t="s">
        <v>33</v>
      </c>
      <c r="H65" s="0" t="n">
        <v>10</v>
      </c>
      <c r="I65" s="0" t="n">
        <v>10</v>
      </c>
      <c r="J65" s="0" t="n">
        <v>0</v>
      </c>
      <c r="K65" s="0" t="n">
        <v>32.33</v>
      </c>
      <c r="L65" s="0" t="n">
        <v>32.33</v>
      </c>
      <c r="M65" s="0" t="n">
        <v>0</v>
      </c>
      <c r="N65" s="0" t="n">
        <v>256545</v>
      </c>
      <c r="O65" s="0" t="n">
        <v>4</v>
      </c>
      <c r="P65" s="0" t="n">
        <v>0</v>
      </c>
      <c r="Q65" s="0" t="s">
        <v>34</v>
      </c>
      <c r="R65" s="0" t="n">
        <v>2828</v>
      </c>
      <c r="S65" s="0" t="n">
        <v>0</v>
      </c>
      <c r="T65" s="0" t="n">
        <v>0</v>
      </c>
      <c r="U65" s="0" t="n">
        <v>0</v>
      </c>
      <c r="V65" s="0" t="n">
        <v>3</v>
      </c>
      <c r="W65" s="0" t="n">
        <v>0</v>
      </c>
      <c r="X65" s="0" t="n">
        <v>4</v>
      </c>
      <c r="Y65" s="0" t="n">
        <v>11144</v>
      </c>
      <c r="Z65" s="0" t="s">
        <v>34</v>
      </c>
      <c r="AA65" s="0" t="s">
        <v>37</v>
      </c>
      <c r="AB65" s="0" t="n">
        <v>0</v>
      </c>
      <c r="AC65" s="0" t="n">
        <v>0</v>
      </c>
    </row>
    <row r="66" customFormat="false" ht="15" hidden="false" customHeight="false" outlineLevel="0" collapsed="false">
      <c r="A66" s="0" t="n">
        <v>300</v>
      </c>
      <c r="B66" s="0" t="s">
        <v>36</v>
      </c>
      <c r="C66" s="0" t="s">
        <v>46</v>
      </c>
      <c r="D66" s="0" t="s">
        <v>54</v>
      </c>
      <c r="E66" s="0" t="s">
        <v>50</v>
      </c>
      <c r="F66" s="0" t="s">
        <v>33</v>
      </c>
      <c r="H66" s="0" t="n">
        <v>17</v>
      </c>
      <c r="I66" s="0" t="n">
        <v>17</v>
      </c>
      <c r="J66" s="0" t="n">
        <v>0</v>
      </c>
      <c r="K66" s="0" t="n">
        <v>11.7</v>
      </c>
      <c r="L66" s="0" t="n">
        <v>11.7</v>
      </c>
      <c r="M66" s="0" t="n">
        <v>0</v>
      </c>
      <c r="N66" s="0" t="n">
        <v>482525</v>
      </c>
      <c r="O66" s="0" t="n">
        <v>4</v>
      </c>
      <c r="P66" s="0" t="n">
        <v>0</v>
      </c>
      <c r="Q66" s="0" t="s">
        <v>34</v>
      </c>
      <c r="R66" s="0" t="n">
        <v>2828</v>
      </c>
      <c r="S66" s="0" t="n">
        <v>0</v>
      </c>
      <c r="T66" s="0" t="n">
        <v>0</v>
      </c>
      <c r="U66" s="0" t="n">
        <v>0</v>
      </c>
      <c r="V66" s="0" t="n">
        <v>3</v>
      </c>
      <c r="W66" s="0" t="n">
        <v>0</v>
      </c>
      <c r="X66" s="0" t="n">
        <v>4</v>
      </c>
      <c r="Y66" s="0" t="n">
        <v>16570</v>
      </c>
      <c r="Z66" s="0" t="s">
        <v>34</v>
      </c>
      <c r="AA66" s="0" t="s">
        <v>37</v>
      </c>
      <c r="AB66" s="0" t="n">
        <v>0</v>
      </c>
      <c r="AC66" s="0" t="n">
        <v>0</v>
      </c>
    </row>
    <row r="67" customFormat="false" ht="15" hidden="false" customHeight="false" outlineLevel="0" collapsed="false">
      <c r="A67" s="0" t="n">
        <v>301</v>
      </c>
      <c r="B67" s="0" t="s">
        <v>29</v>
      </c>
      <c r="C67" s="0" t="s">
        <v>41</v>
      </c>
      <c r="D67" s="0" t="s">
        <v>54</v>
      </c>
      <c r="E67" s="0" t="s">
        <v>50</v>
      </c>
      <c r="F67" s="0" t="s">
        <v>33</v>
      </c>
      <c r="H67" s="0" t="n">
        <v>6</v>
      </c>
      <c r="I67" s="0" t="n">
        <v>6</v>
      </c>
      <c r="J67" s="0" t="n">
        <v>0</v>
      </c>
      <c r="K67" s="0" t="n">
        <v>45.83</v>
      </c>
      <c r="L67" s="0" t="n">
        <v>45.83</v>
      </c>
      <c r="M67" s="0" t="n">
        <v>0</v>
      </c>
      <c r="N67" s="0" t="n">
        <v>151844</v>
      </c>
      <c r="O67" s="0" t="n">
        <v>4</v>
      </c>
      <c r="P67" s="0" t="n">
        <v>0</v>
      </c>
      <c r="Q67" s="0" t="s">
        <v>34</v>
      </c>
      <c r="R67" s="0" t="n">
        <v>2828</v>
      </c>
      <c r="S67" s="0" t="n">
        <v>0</v>
      </c>
      <c r="T67" s="0" t="n">
        <v>0</v>
      </c>
      <c r="U67" s="0" t="n">
        <v>0</v>
      </c>
      <c r="V67" s="0" t="n">
        <v>3</v>
      </c>
      <c r="W67" s="0" t="n">
        <v>0</v>
      </c>
      <c r="X67" s="0" t="n">
        <v>4</v>
      </c>
      <c r="Y67" s="0" t="n">
        <v>5820</v>
      </c>
      <c r="Z67" s="0" t="s">
        <v>34</v>
      </c>
      <c r="AA67" s="0" t="s">
        <v>37</v>
      </c>
      <c r="AB67" s="0" t="n">
        <v>0</v>
      </c>
      <c r="AC67" s="0" t="n">
        <v>0</v>
      </c>
    </row>
    <row r="68" customFormat="false" ht="15" hidden="false" customHeight="false" outlineLevel="0" collapsed="false">
      <c r="A68" s="0" t="n">
        <v>302</v>
      </c>
      <c r="B68" s="0" t="s">
        <v>29</v>
      </c>
      <c r="C68" s="0" t="s">
        <v>38</v>
      </c>
      <c r="D68" s="0" t="s">
        <v>31</v>
      </c>
      <c r="E68" s="0" t="s">
        <v>32</v>
      </c>
      <c r="F68" s="0" t="s">
        <v>33</v>
      </c>
      <c r="G68" s="0" t="s">
        <v>53</v>
      </c>
      <c r="H68" s="0" t="n">
        <v>1</v>
      </c>
      <c r="I68" s="0" t="n">
        <v>1</v>
      </c>
      <c r="J68" s="0" t="n">
        <v>0</v>
      </c>
      <c r="K68" s="0" t="n">
        <v>107.23</v>
      </c>
      <c r="L68" s="0" t="n">
        <v>107.23</v>
      </c>
      <c r="M68" s="0" t="n">
        <v>0</v>
      </c>
      <c r="N68" s="0" t="n">
        <v>41874</v>
      </c>
      <c r="O68" s="0" t="n">
        <v>2</v>
      </c>
      <c r="P68" s="0" t="n">
        <v>0</v>
      </c>
      <c r="Q68" s="0" t="s">
        <v>33</v>
      </c>
      <c r="R68" s="0" t="n">
        <v>3336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1</v>
      </c>
      <c r="X68" s="0" t="n">
        <v>2</v>
      </c>
      <c r="Y68" s="0" t="n">
        <v>1333</v>
      </c>
      <c r="Z68" s="0" t="s">
        <v>34</v>
      </c>
      <c r="AA68" s="0" t="s">
        <v>35</v>
      </c>
      <c r="AB68" s="0" t="n">
        <v>1</v>
      </c>
      <c r="AC68" s="0" t="n">
        <v>0</v>
      </c>
    </row>
    <row r="69" customFormat="false" ht="15" hidden="false" customHeight="false" outlineLevel="0" collapsed="false">
      <c r="A69" s="0" t="n">
        <v>305</v>
      </c>
      <c r="B69" s="0" t="s">
        <v>29</v>
      </c>
      <c r="C69" s="0" t="s">
        <v>46</v>
      </c>
      <c r="D69" s="0" t="s">
        <v>31</v>
      </c>
      <c r="E69" s="0" t="s">
        <v>32</v>
      </c>
      <c r="F69" s="0" t="s">
        <v>33</v>
      </c>
      <c r="G69" s="0" t="s">
        <v>53</v>
      </c>
      <c r="H69" s="0" t="n">
        <v>4</v>
      </c>
      <c r="I69" s="0" t="n">
        <v>4</v>
      </c>
      <c r="J69" s="0" t="n">
        <v>0</v>
      </c>
      <c r="K69" s="0" t="n">
        <v>60.15</v>
      </c>
      <c r="L69" s="0" t="n">
        <v>44.03</v>
      </c>
      <c r="M69" s="0" t="n">
        <v>-16.12</v>
      </c>
      <c r="N69" s="0" t="n">
        <v>101253</v>
      </c>
      <c r="O69" s="0" t="n">
        <v>2</v>
      </c>
      <c r="P69" s="0" t="n">
        <v>0</v>
      </c>
      <c r="Q69" s="0" t="s">
        <v>33</v>
      </c>
      <c r="R69" s="0" t="n">
        <v>3336</v>
      </c>
      <c r="S69" s="0" t="n">
        <v>0</v>
      </c>
      <c r="T69" s="0" t="n">
        <v>0</v>
      </c>
      <c r="U69" s="0" t="n">
        <v>0</v>
      </c>
      <c r="V69" s="0" t="n">
        <v>2</v>
      </c>
      <c r="W69" s="0" t="n">
        <v>0</v>
      </c>
      <c r="X69" s="0" t="n">
        <v>3</v>
      </c>
      <c r="Y69" s="0" t="n">
        <v>4325</v>
      </c>
      <c r="Z69" s="0" t="s">
        <v>33</v>
      </c>
      <c r="AA69" s="0" t="s">
        <v>40</v>
      </c>
      <c r="AB69" s="0" t="n">
        <v>0</v>
      </c>
      <c r="AC69" s="0" t="n">
        <v>0</v>
      </c>
    </row>
    <row r="70" customFormat="false" ht="15" hidden="false" customHeight="false" outlineLevel="0" collapsed="false">
      <c r="A70" s="0" t="n">
        <v>306</v>
      </c>
      <c r="B70" s="0" t="s">
        <v>29</v>
      </c>
      <c r="C70" s="0" t="s">
        <v>41</v>
      </c>
      <c r="D70" s="0" t="s">
        <v>54</v>
      </c>
      <c r="E70" s="0" t="s">
        <v>50</v>
      </c>
      <c r="F70" s="0" t="s">
        <v>33</v>
      </c>
      <c r="H70" s="0" t="n">
        <v>5</v>
      </c>
      <c r="I70" s="0" t="n">
        <v>5</v>
      </c>
      <c r="J70" s="0" t="n">
        <v>0</v>
      </c>
      <c r="K70" s="0" t="n">
        <v>41.88</v>
      </c>
      <c r="L70" s="0" t="n">
        <v>41.88</v>
      </c>
      <c r="M70" s="0" t="n">
        <v>0</v>
      </c>
      <c r="N70" s="0" t="n">
        <v>143853</v>
      </c>
      <c r="O70" s="0" t="n">
        <v>4</v>
      </c>
      <c r="P70" s="0" t="n">
        <v>0</v>
      </c>
      <c r="Q70" s="0" t="s">
        <v>34</v>
      </c>
      <c r="R70" s="0" t="n">
        <v>2828</v>
      </c>
      <c r="S70" s="0" t="n">
        <v>0</v>
      </c>
      <c r="T70" s="0" t="n">
        <v>0</v>
      </c>
      <c r="U70" s="0" t="n">
        <v>0</v>
      </c>
      <c r="V70" s="0" t="n">
        <v>3</v>
      </c>
      <c r="W70" s="0" t="n">
        <v>0</v>
      </c>
      <c r="X70" s="0" t="n">
        <v>0</v>
      </c>
      <c r="Z70" s="0" t="s">
        <v>34</v>
      </c>
      <c r="AA70" s="0" t="s">
        <v>37</v>
      </c>
      <c r="AB70" s="0" t="n">
        <v>0</v>
      </c>
      <c r="AC70" s="0" t="n">
        <v>0</v>
      </c>
    </row>
    <row r="71" customFormat="false" ht="15" hidden="false" customHeight="false" outlineLevel="0" collapsed="false">
      <c r="A71" s="0" t="n">
        <v>308</v>
      </c>
      <c r="B71" s="0" t="s">
        <v>29</v>
      </c>
      <c r="C71" s="0" t="s">
        <v>38</v>
      </c>
      <c r="D71" s="0" t="s">
        <v>31</v>
      </c>
      <c r="E71" s="0" t="s">
        <v>32</v>
      </c>
      <c r="F71" s="0" t="s">
        <v>34</v>
      </c>
      <c r="G71" s="0" t="s">
        <v>53</v>
      </c>
      <c r="H71" s="0" t="n">
        <v>5</v>
      </c>
      <c r="I71" s="0" t="n">
        <v>5</v>
      </c>
      <c r="J71" s="0" t="n">
        <v>0</v>
      </c>
      <c r="K71" s="0" t="n">
        <v>58.41</v>
      </c>
      <c r="L71" s="0" t="n">
        <v>58.41</v>
      </c>
      <c r="M71" s="0" t="n">
        <v>0</v>
      </c>
      <c r="N71" s="0" t="n">
        <v>44827</v>
      </c>
      <c r="O71" s="0" t="n">
        <v>1</v>
      </c>
      <c r="P71" s="0" t="n">
        <v>0</v>
      </c>
      <c r="Q71" s="0" t="s">
        <v>33</v>
      </c>
      <c r="R71" s="0" t="n">
        <v>3336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2</v>
      </c>
      <c r="Y71" s="0" t="n">
        <v>4892</v>
      </c>
      <c r="Z71" s="0" t="s">
        <v>33</v>
      </c>
      <c r="AA71" s="0" t="s">
        <v>40</v>
      </c>
      <c r="AB71" s="0" t="n">
        <v>0</v>
      </c>
      <c r="AC71" s="0" t="n">
        <v>0</v>
      </c>
    </row>
    <row r="72" customFormat="false" ht="15" hidden="false" customHeight="false" outlineLevel="0" collapsed="false">
      <c r="A72" s="0" t="n">
        <v>311</v>
      </c>
      <c r="B72" s="0" t="s">
        <v>29</v>
      </c>
      <c r="C72" s="0" t="s">
        <v>30</v>
      </c>
      <c r="D72" s="0" t="s">
        <v>31</v>
      </c>
      <c r="E72" s="0" t="s">
        <v>32</v>
      </c>
      <c r="F72" s="0" t="s">
        <v>34</v>
      </c>
      <c r="G72" s="0" t="s">
        <v>53</v>
      </c>
      <c r="H72" s="0" t="n">
        <v>4</v>
      </c>
      <c r="I72" s="0" t="n">
        <v>4</v>
      </c>
      <c r="J72" s="0" t="n">
        <v>0</v>
      </c>
      <c r="K72" s="0" t="n">
        <v>53.4</v>
      </c>
      <c r="L72" s="0" t="n">
        <v>47.83</v>
      </c>
      <c r="M72" s="0" t="n">
        <v>-5.57</v>
      </c>
      <c r="N72" s="0" t="n">
        <v>59012</v>
      </c>
      <c r="O72" s="0" t="n">
        <v>1</v>
      </c>
      <c r="P72" s="0" t="n">
        <v>0</v>
      </c>
      <c r="Q72" s="0" t="s">
        <v>33</v>
      </c>
      <c r="R72" s="0" t="n">
        <v>3336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3</v>
      </c>
      <c r="Y72" s="0" t="n">
        <v>6391</v>
      </c>
      <c r="Z72" s="0" t="s">
        <v>33</v>
      </c>
      <c r="AA72" s="0" t="s">
        <v>40</v>
      </c>
      <c r="AB72" s="0" t="n">
        <v>0</v>
      </c>
      <c r="AC72" s="0" t="n">
        <v>0</v>
      </c>
    </row>
    <row r="73" customFormat="false" ht="15" hidden="false" customHeight="false" outlineLevel="0" collapsed="false">
      <c r="A73" s="0" t="n">
        <v>320</v>
      </c>
      <c r="B73" s="0" t="s">
        <v>29</v>
      </c>
      <c r="C73" s="0" t="s">
        <v>45</v>
      </c>
      <c r="D73" s="0" t="s">
        <v>54</v>
      </c>
      <c r="E73" s="0" t="s">
        <v>50</v>
      </c>
      <c r="F73" s="0" t="s">
        <v>33</v>
      </c>
      <c r="H73" s="0" t="n">
        <v>2</v>
      </c>
      <c r="I73" s="0" t="n">
        <v>2</v>
      </c>
      <c r="J73" s="0" t="n">
        <v>0</v>
      </c>
      <c r="K73" s="0" t="n">
        <v>54.62</v>
      </c>
      <c r="L73" s="0" t="n">
        <v>54.62</v>
      </c>
      <c r="M73" s="0" t="n">
        <v>0</v>
      </c>
      <c r="N73" s="0" t="n">
        <v>96748</v>
      </c>
      <c r="O73" s="0" t="n">
        <v>4</v>
      </c>
      <c r="P73" s="0" t="n">
        <v>0</v>
      </c>
      <c r="Q73" s="0" t="s">
        <v>34</v>
      </c>
      <c r="R73" s="0" t="n">
        <v>2828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Z73" s="0" t="s">
        <v>34</v>
      </c>
      <c r="AA73" s="0" t="s">
        <v>37</v>
      </c>
      <c r="AB73" s="0" t="n">
        <v>0</v>
      </c>
      <c r="AC73" s="0" t="n">
        <v>0</v>
      </c>
    </row>
    <row r="74" customFormat="false" ht="15" hidden="false" customHeight="false" outlineLevel="0" collapsed="false">
      <c r="A74" s="0" t="n">
        <v>334</v>
      </c>
      <c r="B74" s="0" t="s">
        <v>29</v>
      </c>
      <c r="C74" s="0" t="s">
        <v>38</v>
      </c>
      <c r="D74" s="0" t="s">
        <v>31</v>
      </c>
      <c r="E74" s="0" t="s">
        <v>32</v>
      </c>
      <c r="F74" s="0" t="s">
        <v>34</v>
      </c>
      <c r="G74" s="0" t="s">
        <v>53</v>
      </c>
      <c r="H74" s="0" t="n">
        <v>7</v>
      </c>
      <c r="I74" s="0" t="n">
        <v>7</v>
      </c>
      <c r="J74" s="0" t="n">
        <v>0</v>
      </c>
      <c r="K74" s="0" t="n">
        <v>15.01</v>
      </c>
      <c r="L74" s="0" t="n">
        <v>15.01</v>
      </c>
      <c r="M74" s="0" t="n">
        <v>0</v>
      </c>
      <c r="N74" s="0" t="n">
        <v>87963</v>
      </c>
      <c r="O74" s="0" t="n">
        <v>1</v>
      </c>
      <c r="P74" s="0" t="n">
        <v>0</v>
      </c>
      <c r="Q74" s="0" t="s">
        <v>33</v>
      </c>
      <c r="R74" s="0" t="n">
        <v>3336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3</v>
      </c>
      <c r="Y74" s="0" t="n">
        <v>15961</v>
      </c>
      <c r="Z74" s="0" t="s">
        <v>34</v>
      </c>
      <c r="AA74" s="0" t="s">
        <v>35</v>
      </c>
      <c r="AB74" s="0" t="n">
        <v>1</v>
      </c>
      <c r="AC74" s="0" t="n">
        <v>0</v>
      </c>
    </row>
    <row r="75" customFormat="false" ht="15" hidden="false" customHeight="false" outlineLevel="0" collapsed="false">
      <c r="A75" s="0" t="n">
        <v>354</v>
      </c>
      <c r="B75" s="0" t="s">
        <v>29</v>
      </c>
      <c r="C75" s="0" t="s">
        <v>47</v>
      </c>
      <c r="D75" s="0" t="s">
        <v>31</v>
      </c>
      <c r="E75" s="0" t="s">
        <v>32</v>
      </c>
      <c r="F75" s="0" t="s">
        <v>34</v>
      </c>
      <c r="G75" s="0" t="s">
        <v>53</v>
      </c>
      <c r="H75" s="0" t="n">
        <v>2</v>
      </c>
      <c r="I75" s="0" t="n">
        <v>2</v>
      </c>
      <c r="J75" s="0" t="n">
        <v>0</v>
      </c>
      <c r="K75" s="0" t="n">
        <v>76.81</v>
      </c>
      <c r="L75" s="0" t="n">
        <v>80.05</v>
      </c>
      <c r="M75" s="0" t="n">
        <v>3.24</v>
      </c>
      <c r="N75" s="0" t="n">
        <v>42019</v>
      </c>
      <c r="O75" s="0" t="n">
        <v>1</v>
      </c>
      <c r="P75" s="0" t="n">
        <v>0</v>
      </c>
      <c r="Q75" s="0" t="s">
        <v>33</v>
      </c>
      <c r="R75" s="0" t="n">
        <v>3336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Z75" s="0" t="s">
        <v>34</v>
      </c>
      <c r="AA75" s="0" t="s">
        <v>37</v>
      </c>
      <c r="AB75" s="0" t="n">
        <v>0</v>
      </c>
      <c r="AC75" s="0" t="n">
        <v>0</v>
      </c>
    </row>
    <row r="76" customFormat="false" ht="15" hidden="false" customHeight="false" outlineLevel="0" collapsed="false">
      <c r="A76" s="0" t="n">
        <v>359</v>
      </c>
      <c r="B76" s="0" t="s">
        <v>29</v>
      </c>
      <c r="C76" s="0" t="s">
        <v>38</v>
      </c>
      <c r="D76" s="0" t="s">
        <v>31</v>
      </c>
      <c r="E76" s="0" t="s">
        <v>32</v>
      </c>
      <c r="F76" s="0" t="s">
        <v>34</v>
      </c>
      <c r="G76" s="0" t="s">
        <v>53</v>
      </c>
      <c r="H76" s="0" t="n">
        <v>5</v>
      </c>
      <c r="I76" s="0" t="n">
        <v>5</v>
      </c>
      <c r="J76" s="0" t="n">
        <v>0</v>
      </c>
      <c r="K76" s="0" t="n">
        <v>61.42</v>
      </c>
      <c r="L76" s="0" t="n">
        <v>61.52</v>
      </c>
      <c r="M76" s="0" t="n">
        <v>0.1</v>
      </c>
      <c r="N76" s="0" t="n">
        <v>46387</v>
      </c>
      <c r="O76" s="0" t="n">
        <v>1</v>
      </c>
      <c r="P76" s="0" t="n">
        <v>0</v>
      </c>
      <c r="Q76" s="0" t="s">
        <v>33</v>
      </c>
      <c r="R76" s="0" t="n">
        <v>3336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2</v>
      </c>
      <c r="Y76" s="0" t="n">
        <v>4652</v>
      </c>
      <c r="Z76" s="0" t="s">
        <v>34</v>
      </c>
      <c r="AA76" s="0" t="s">
        <v>37</v>
      </c>
      <c r="AB76" s="0" t="n">
        <v>0</v>
      </c>
      <c r="AC76" s="0" t="n">
        <v>0</v>
      </c>
    </row>
    <row r="77" customFormat="false" ht="15" hidden="false" customHeight="false" outlineLevel="0" collapsed="false">
      <c r="A77" s="0" t="n">
        <v>366</v>
      </c>
      <c r="B77" s="0" t="s">
        <v>42</v>
      </c>
      <c r="C77" s="0" t="s">
        <v>30</v>
      </c>
      <c r="D77" s="0" t="s">
        <v>31</v>
      </c>
      <c r="E77" s="0" t="s">
        <v>32</v>
      </c>
      <c r="F77" s="0" t="s">
        <v>34</v>
      </c>
      <c r="G77" s="0" t="s">
        <v>53</v>
      </c>
      <c r="H77" s="0" t="n">
        <v>5</v>
      </c>
      <c r="I77" s="0" t="n">
        <v>5</v>
      </c>
      <c r="J77" s="0" t="n">
        <v>0</v>
      </c>
      <c r="K77" s="0" t="n">
        <v>58.13</v>
      </c>
      <c r="L77" s="0" t="n">
        <v>56.76</v>
      </c>
      <c r="M77" s="0" t="n">
        <v>-1.37</v>
      </c>
      <c r="N77" s="0" t="n">
        <v>70349</v>
      </c>
      <c r="O77" s="0" t="n">
        <v>1</v>
      </c>
      <c r="P77" s="0" t="n">
        <v>0</v>
      </c>
      <c r="Q77" s="0" t="s">
        <v>33</v>
      </c>
      <c r="R77" s="0" t="n">
        <v>3336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4</v>
      </c>
      <c r="Y77" s="0" t="n">
        <v>5316</v>
      </c>
      <c r="Z77" s="0" t="s">
        <v>34</v>
      </c>
      <c r="AA77" s="0" t="s">
        <v>37</v>
      </c>
      <c r="AB77" s="0" t="n">
        <v>0</v>
      </c>
      <c r="AC77" s="0" t="n">
        <v>0</v>
      </c>
    </row>
    <row r="78" customFormat="false" ht="15" hidden="false" customHeight="false" outlineLevel="0" collapsed="false">
      <c r="A78" s="0" t="n">
        <v>372</v>
      </c>
      <c r="B78" s="0" t="s">
        <v>42</v>
      </c>
      <c r="C78" s="0" t="s">
        <v>39</v>
      </c>
      <c r="D78" s="0" t="s">
        <v>31</v>
      </c>
      <c r="E78" s="0" t="s">
        <v>32</v>
      </c>
      <c r="F78" s="0" t="s">
        <v>34</v>
      </c>
      <c r="G78" s="0" t="s">
        <v>53</v>
      </c>
      <c r="H78" s="0" t="n">
        <v>3</v>
      </c>
      <c r="I78" s="0" t="n">
        <v>3</v>
      </c>
      <c r="J78" s="0" t="n">
        <v>0</v>
      </c>
      <c r="K78" s="0" t="n">
        <v>83.86</v>
      </c>
      <c r="L78" s="0" t="n">
        <v>74.67</v>
      </c>
      <c r="M78" s="0" t="n">
        <v>-9.19</v>
      </c>
      <c r="N78" s="0" t="n">
        <v>44628</v>
      </c>
      <c r="O78" s="0" t="n">
        <v>1</v>
      </c>
      <c r="P78" s="0" t="n">
        <v>0</v>
      </c>
      <c r="Q78" s="0" t="s">
        <v>33</v>
      </c>
      <c r="R78" s="0" t="n">
        <v>3336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2</v>
      </c>
      <c r="Y78" s="0" t="n">
        <v>3952</v>
      </c>
      <c r="Z78" s="0" t="s">
        <v>34</v>
      </c>
      <c r="AA78" s="0" t="s">
        <v>37</v>
      </c>
      <c r="AB78" s="0" t="n">
        <v>0</v>
      </c>
      <c r="AC78" s="0" t="n">
        <v>0</v>
      </c>
    </row>
    <row r="79" customFormat="false" ht="15" hidden="false" customHeight="false" outlineLevel="0" collapsed="false">
      <c r="A79" s="0" t="n">
        <v>383</v>
      </c>
      <c r="B79" s="0" t="s">
        <v>29</v>
      </c>
      <c r="C79" s="0" t="s">
        <v>39</v>
      </c>
      <c r="D79" s="0" t="s">
        <v>31</v>
      </c>
      <c r="E79" s="0" t="s">
        <v>32</v>
      </c>
      <c r="F79" s="0" t="s">
        <v>34</v>
      </c>
      <c r="G79" s="0" t="s">
        <v>53</v>
      </c>
      <c r="H79" s="0" t="n">
        <v>2</v>
      </c>
      <c r="I79" s="0" t="n">
        <v>2</v>
      </c>
      <c r="J79" s="0" t="n">
        <v>0</v>
      </c>
      <c r="K79" s="0" t="n">
        <v>56.35</v>
      </c>
      <c r="L79" s="0" t="n">
        <v>50.73</v>
      </c>
      <c r="M79" s="0" t="n">
        <v>-5.62</v>
      </c>
      <c r="N79" s="0" t="n">
        <v>75706</v>
      </c>
      <c r="O79" s="0" t="n">
        <v>1</v>
      </c>
      <c r="P79" s="0" t="n">
        <v>0</v>
      </c>
      <c r="Q79" s="0" t="s">
        <v>33</v>
      </c>
      <c r="R79" s="0" t="n">
        <v>3336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4</v>
      </c>
      <c r="Y79" s="0" t="n">
        <v>5116</v>
      </c>
      <c r="Z79" s="0" t="s">
        <v>33</v>
      </c>
      <c r="AA79" s="0" t="s">
        <v>40</v>
      </c>
      <c r="AB79" s="0" t="n">
        <v>0</v>
      </c>
      <c r="AC79" s="0" t="n">
        <v>0</v>
      </c>
    </row>
    <row r="80" customFormat="false" ht="15" hidden="false" customHeight="false" outlineLevel="0" collapsed="false">
      <c r="A80" s="0" t="n">
        <v>391</v>
      </c>
      <c r="B80" s="0" t="s">
        <v>42</v>
      </c>
      <c r="C80" s="0" t="s">
        <v>30</v>
      </c>
      <c r="D80" s="0" t="s">
        <v>31</v>
      </c>
      <c r="E80" s="0" t="s">
        <v>32</v>
      </c>
      <c r="F80" s="0" t="s">
        <v>34</v>
      </c>
      <c r="G80" s="0" t="s">
        <v>53</v>
      </c>
      <c r="H80" s="0" t="n">
        <v>9</v>
      </c>
      <c r="I80" s="0" t="n">
        <v>9</v>
      </c>
      <c r="J80" s="0" t="n">
        <v>0</v>
      </c>
      <c r="K80" s="0" t="n">
        <v>50.22</v>
      </c>
      <c r="L80" s="0" t="n">
        <v>46.45</v>
      </c>
      <c r="M80" s="0" t="n">
        <v>-3.77</v>
      </c>
      <c r="N80" s="0" t="n">
        <v>95637</v>
      </c>
      <c r="O80" s="0" t="n">
        <v>1</v>
      </c>
      <c r="P80" s="0" t="n">
        <v>0</v>
      </c>
      <c r="Q80" s="0" t="s">
        <v>33</v>
      </c>
      <c r="R80" s="0" t="n">
        <v>3336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4</v>
      </c>
      <c r="Y80" s="0" t="n">
        <v>8194</v>
      </c>
      <c r="Z80" s="0" t="s">
        <v>34</v>
      </c>
      <c r="AA80" s="0" t="s">
        <v>37</v>
      </c>
      <c r="AB80" s="0" t="n">
        <v>0</v>
      </c>
      <c r="AC80" s="0" t="n">
        <v>0</v>
      </c>
    </row>
    <row r="81" customFormat="false" ht="15" hidden="false" customHeight="false" outlineLevel="0" collapsed="false">
      <c r="A81" s="0" t="n">
        <v>407</v>
      </c>
      <c r="B81" s="0" t="s">
        <v>29</v>
      </c>
      <c r="C81" s="0" t="s">
        <v>38</v>
      </c>
      <c r="D81" s="0" t="s">
        <v>31</v>
      </c>
      <c r="E81" s="0" t="s">
        <v>32</v>
      </c>
      <c r="F81" s="0" t="s">
        <v>34</v>
      </c>
      <c r="G81" s="0" t="s">
        <v>53</v>
      </c>
      <c r="H81" s="0" t="n">
        <v>3</v>
      </c>
      <c r="I81" s="0" t="n">
        <v>3</v>
      </c>
      <c r="J81" s="0" t="n">
        <v>0</v>
      </c>
      <c r="K81" s="0" t="n">
        <v>50.64</v>
      </c>
      <c r="L81" s="0" t="n">
        <v>50.64</v>
      </c>
      <c r="M81" s="0" t="n">
        <v>0</v>
      </c>
      <c r="N81" s="0" t="n">
        <v>47977</v>
      </c>
      <c r="O81" s="0" t="n">
        <v>1</v>
      </c>
      <c r="P81" s="0" t="n">
        <v>0</v>
      </c>
      <c r="Q81" s="0" t="s">
        <v>33</v>
      </c>
      <c r="R81" s="0" t="n">
        <v>3336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2</v>
      </c>
      <c r="Y81" s="0" t="n">
        <v>6055</v>
      </c>
      <c r="Z81" s="0" t="s">
        <v>34</v>
      </c>
      <c r="AA81" s="0" t="s">
        <v>37</v>
      </c>
      <c r="AB81" s="0" t="n">
        <v>0</v>
      </c>
      <c r="AC81" s="0" t="n">
        <v>0</v>
      </c>
    </row>
    <row r="82" customFormat="false" ht="15" hidden="false" customHeight="false" outlineLevel="0" collapsed="false">
      <c r="A82" s="0" t="n">
        <v>424</v>
      </c>
      <c r="B82" s="0" t="s">
        <v>42</v>
      </c>
      <c r="C82" s="0" t="s">
        <v>38</v>
      </c>
      <c r="D82" s="0" t="s">
        <v>31</v>
      </c>
      <c r="E82" s="0" t="s">
        <v>32</v>
      </c>
      <c r="F82" s="0" t="s">
        <v>34</v>
      </c>
      <c r="G82" s="0" t="s">
        <v>53</v>
      </c>
      <c r="H82" s="0" t="n">
        <v>2</v>
      </c>
      <c r="I82" s="0" t="n">
        <v>2</v>
      </c>
      <c r="J82" s="0" t="n">
        <v>0</v>
      </c>
      <c r="K82" s="0" t="n">
        <v>83.96</v>
      </c>
      <c r="L82" s="0" t="n">
        <v>83.96</v>
      </c>
      <c r="M82" s="0" t="n">
        <v>0</v>
      </c>
      <c r="N82" s="0" t="n">
        <v>38281</v>
      </c>
      <c r="O82" s="0" t="n">
        <v>1</v>
      </c>
      <c r="P82" s="0" t="n">
        <v>0</v>
      </c>
      <c r="Q82" s="0" t="s">
        <v>33</v>
      </c>
      <c r="R82" s="0" t="n">
        <v>3336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2</v>
      </c>
      <c r="Y82" s="0" t="n">
        <v>2128</v>
      </c>
      <c r="Z82" s="0" t="s">
        <v>34</v>
      </c>
      <c r="AA82" s="0" t="s">
        <v>35</v>
      </c>
      <c r="AB82" s="0" t="n">
        <v>1</v>
      </c>
      <c r="AC82" s="0" t="n">
        <v>0</v>
      </c>
    </row>
    <row r="83" customFormat="false" ht="15" hidden="false" customHeight="false" outlineLevel="0" collapsed="false">
      <c r="A83" s="0" t="n">
        <v>427</v>
      </c>
      <c r="B83" s="0" t="s">
        <v>29</v>
      </c>
      <c r="C83" s="0" t="s">
        <v>38</v>
      </c>
      <c r="D83" s="0" t="s">
        <v>31</v>
      </c>
      <c r="E83" s="0" t="s">
        <v>32</v>
      </c>
      <c r="F83" s="0" t="s">
        <v>34</v>
      </c>
      <c r="G83" s="0" t="s">
        <v>53</v>
      </c>
      <c r="H83" s="0" t="n">
        <v>4</v>
      </c>
      <c r="I83" s="0" t="n">
        <v>4</v>
      </c>
      <c r="J83" s="0" t="n">
        <v>0</v>
      </c>
      <c r="K83" s="0" t="n">
        <v>63.46</v>
      </c>
      <c r="L83" s="0" t="n">
        <v>63.46</v>
      </c>
      <c r="M83" s="0" t="n">
        <v>0</v>
      </c>
      <c r="N83" s="0" t="n">
        <v>41957</v>
      </c>
      <c r="O83" s="0" t="n">
        <v>1</v>
      </c>
      <c r="P83" s="0" t="n">
        <v>0</v>
      </c>
      <c r="Q83" s="0" t="s">
        <v>33</v>
      </c>
      <c r="R83" s="0" t="n">
        <v>3336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2</v>
      </c>
      <c r="Y83" s="0" t="n">
        <v>4288</v>
      </c>
      <c r="Z83" s="0" t="s">
        <v>33</v>
      </c>
      <c r="AA83" s="0" t="s">
        <v>40</v>
      </c>
      <c r="AB83" s="0" t="n">
        <v>0</v>
      </c>
      <c r="AC83" s="0" t="n">
        <v>0</v>
      </c>
    </row>
    <row r="84" customFormat="false" ht="15" hidden="false" customHeight="false" outlineLevel="0" collapsed="false">
      <c r="A84" s="0" t="n">
        <v>429</v>
      </c>
      <c r="B84" s="0" t="s">
        <v>36</v>
      </c>
      <c r="C84" s="0" t="s">
        <v>30</v>
      </c>
      <c r="D84" s="0" t="s">
        <v>31</v>
      </c>
      <c r="E84" s="0" t="s">
        <v>32</v>
      </c>
      <c r="F84" s="0" t="s">
        <v>34</v>
      </c>
      <c r="G84" s="0" t="s">
        <v>53</v>
      </c>
      <c r="H84" s="0" t="n">
        <v>6</v>
      </c>
      <c r="I84" s="0" t="n">
        <v>6</v>
      </c>
      <c r="J84" s="0" t="n">
        <v>0</v>
      </c>
      <c r="K84" s="0" t="n">
        <v>42.53</v>
      </c>
      <c r="L84" s="0" t="n">
        <v>39.79</v>
      </c>
      <c r="M84" s="0" t="n">
        <v>-2.74</v>
      </c>
      <c r="N84" s="0" t="n">
        <v>96358</v>
      </c>
      <c r="O84" s="0" t="n">
        <v>1</v>
      </c>
      <c r="P84" s="0" t="n">
        <v>0</v>
      </c>
      <c r="Q84" s="0" t="s">
        <v>33</v>
      </c>
      <c r="R84" s="0" t="n">
        <v>3336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4</v>
      </c>
      <c r="Y84" s="0" t="n">
        <v>9178</v>
      </c>
      <c r="Z84" s="0" t="s">
        <v>33</v>
      </c>
      <c r="AA84" s="0" t="s">
        <v>40</v>
      </c>
      <c r="AB84" s="0" t="n">
        <v>0</v>
      </c>
      <c r="AC84" s="0" t="n">
        <v>0</v>
      </c>
    </row>
    <row r="85" customFormat="false" ht="15" hidden="false" customHeight="false" outlineLevel="0" collapsed="false">
      <c r="A85" s="0" t="n">
        <v>431</v>
      </c>
      <c r="B85" s="0" t="s">
        <v>42</v>
      </c>
      <c r="C85" s="0" t="s">
        <v>39</v>
      </c>
      <c r="D85" s="0" t="s">
        <v>31</v>
      </c>
      <c r="E85" s="0" t="s">
        <v>32</v>
      </c>
      <c r="F85" s="0" t="s">
        <v>34</v>
      </c>
      <c r="G85" s="0" t="s">
        <v>53</v>
      </c>
      <c r="H85" s="0" t="n">
        <v>4</v>
      </c>
      <c r="I85" s="0" t="n">
        <v>4</v>
      </c>
      <c r="J85" s="0" t="n">
        <v>0</v>
      </c>
      <c r="K85" s="0" t="n">
        <v>56.75</v>
      </c>
      <c r="L85" s="0" t="n">
        <v>52.41</v>
      </c>
      <c r="M85" s="0" t="n">
        <v>-4.34</v>
      </c>
      <c r="N85" s="0" t="n">
        <v>47238</v>
      </c>
      <c r="O85" s="0" t="n">
        <v>1</v>
      </c>
      <c r="P85" s="0" t="n">
        <v>0</v>
      </c>
      <c r="Q85" s="0" t="s">
        <v>33</v>
      </c>
      <c r="R85" s="0" t="n">
        <v>3336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2</v>
      </c>
      <c r="Y85" s="0" t="n">
        <v>5834</v>
      </c>
      <c r="Z85" s="0" t="s">
        <v>34</v>
      </c>
      <c r="AA85" s="0" t="s">
        <v>37</v>
      </c>
      <c r="AB85" s="0" t="n">
        <v>0</v>
      </c>
      <c r="AC85" s="0" t="n">
        <v>0</v>
      </c>
    </row>
    <row r="86" customFormat="false" ht="15" hidden="false" customHeight="false" outlineLevel="0" collapsed="false">
      <c r="A86" s="0" t="n">
        <v>441</v>
      </c>
      <c r="B86" s="0" t="s">
        <v>36</v>
      </c>
      <c r="C86" s="0" t="s">
        <v>39</v>
      </c>
      <c r="D86" s="0" t="s">
        <v>31</v>
      </c>
      <c r="E86" s="0" t="s">
        <v>32</v>
      </c>
      <c r="F86" s="0" t="s">
        <v>33</v>
      </c>
      <c r="G86" s="0" t="s">
        <v>53</v>
      </c>
      <c r="H86" s="0" t="n">
        <v>2</v>
      </c>
      <c r="I86" s="0" t="n">
        <v>1</v>
      </c>
      <c r="J86" s="0" t="n">
        <v>-1</v>
      </c>
      <c r="K86" s="0" t="n">
        <v>76.09</v>
      </c>
      <c r="L86" s="0" t="n">
        <v>74.23</v>
      </c>
      <c r="M86" s="0" t="n">
        <v>-1.86</v>
      </c>
      <c r="N86" s="0" t="n">
        <v>101276</v>
      </c>
      <c r="O86" s="0" t="n">
        <v>2</v>
      </c>
      <c r="P86" s="0" t="n">
        <v>0</v>
      </c>
      <c r="Q86" s="0" t="s">
        <v>33</v>
      </c>
      <c r="R86" s="0" t="n">
        <v>3336</v>
      </c>
      <c r="S86" s="0" t="n">
        <v>0</v>
      </c>
      <c r="T86" s="0" t="n">
        <v>0</v>
      </c>
      <c r="U86" s="0" t="n">
        <v>0</v>
      </c>
      <c r="V86" s="0" t="n">
        <v>2</v>
      </c>
      <c r="W86" s="0" t="n">
        <v>0</v>
      </c>
      <c r="X86" s="0" t="n">
        <v>4</v>
      </c>
      <c r="Y86" s="0" t="n">
        <v>5005</v>
      </c>
      <c r="Z86" s="0" t="s">
        <v>34</v>
      </c>
      <c r="AA86" s="0" t="s">
        <v>37</v>
      </c>
      <c r="AB86" s="0" t="n">
        <v>0</v>
      </c>
      <c r="AC86" s="0" t="n">
        <v>0</v>
      </c>
    </row>
    <row r="87" customFormat="false" ht="15" hidden="false" customHeight="false" outlineLevel="0" collapsed="false">
      <c r="A87" s="0" t="n">
        <v>442</v>
      </c>
      <c r="B87" s="0" t="s">
        <v>42</v>
      </c>
      <c r="C87" s="0" t="s">
        <v>51</v>
      </c>
      <c r="D87" s="0" t="s">
        <v>31</v>
      </c>
      <c r="E87" s="0" t="s">
        <v>32</v>
      </c>
      <c r="F87" s="0" t="s">
        <v>34</v>
      </c>
      <c r="G87" s="0" t="s">
        <v>53</v>
      </c>
      <c r="H87" s="0" t="n">
        <v>6</v>
      </c>
      <c r="I87" s="0" t="n">
        <v>5</v>
      </c>
      <c r="J87" s="0" t="n">
        <v>-1</v>
      </c>
      <c r="K87" s="0" t="n">
        <v>53.89</v>
      </c>
      <c r="L87" s="0" t="n">
        <v>60.46</v>
      </c>
      <c r="M87" s="0" t="n">
        <v>6.57</v>
      </c>
      <c r="N87" s="0" t="n">
        <v>49978</v>
      </c>
      <c r="O87" s="0" t="n">
        <v>1</v>
      </c>
      <c r="P87" s="0" t="n">
        <v>0</v>
      </c>
      <c r="Q87" s="0" t="s">
        <v>33</v>
      </c>
      <c r="R87" s="0" t="n">
        <v>3336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Z87" s="0" t="s">
        <v>34</v>
      </c>
      <c r="AA87" s="0" t="s">
        <v>37</v>
      </c>
      <c r="AB87" s="0" t="n">
        <v>0</v>
      </c>
      <c r="AC87" s="0" t="n">
        <v>0</v>
      </c>
    </row>
    <row r="88" customFormat="false" ht="15" hidden="false" customHeight="false" outlineLevel="0" collapsed="false">
      <c r="A88" s="0" t="n">
        <v>445</v>
      </c>
      <c r="B88" s="0" t="s">
        <v>29</v>
      </c>
      <c r="C88" s="0" t="s">
        <v>48</v>
      </c>
      <c r="D88" s="0" t="s">
        <v>31</v>
      </c>
      <c r="E88" s="0" t="s">
        <v>32</v>
      </c>
      <c r="F88" s="0" t="s">
        <v>34</v>
      </c>
      <c r="G88" s="0" t="s">
        <v>53</v>
      </c>
      <c r="H88" s="0" t="n">
        <v>2</v>
      </c>
      <c r="I88" s="0" t="n">
        <v>1</v>
      </c>
      <c r="J88" s="0" t="n">
        <v>-1</v>
      </c>
      <c r="K88" s="0" t="n">
        <v>72.56</v>
      </c>
      <c r="L88" s="0" t="n">
        <v>84.34</v>
      </c>
      <c r="M88" s="0" t="n">
        <v>11.78</v>
      </c>
      <c r="N88" s="0" t="n">
        <v>42298</v>
      </c>
      <c r="O88" s="0" t="n">
        <v>1</v>
      </c>
      <c r="P88" s="0" t="n">
        <v>0</v>
      </c>
      <c r="Q88" s="0" t="s">
        <v>33</v>
      </c>
      <c r="R88" s="0" t="n">
        <v>3336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Z88" s="0" t="s">
        <v>33</v>
      </c>
      <c r="AA88" s="0" t="s">
        <v>40</v>
      </c>
      <c r="AB88" s="0" t="n">
        <v>0</v>
      </c>
      <c r="AC88" s="0" t="n">
        <v>0</v>
      </c>
    </row>
    <row r="89" customFormat="false" ht="15" hidden="false" customHeight="false" outlineLevel="0" collapsed="false">
      <c r="A89" s="0" t="n">
        <v>449</v>
      </c>
      <c r="B89" s="0" t="s">
        <v>36</v>
      </c>
      <c r="C89" s="0" t="s">
        <v>39</v>
      </c>
      <c r="D89" s="0" t="s">
        <v>31</v>
      </c>
      <c r="E89" s="0" t="s">
        <v>32</v>
      </c>
      <c r="F89" s="0" t="s">
        <v>34</v>
      </c>
      <c r="G89" s="0" t="s">
        <v>53</v>
      </c>
      <c r="H89" s="0" t="n">
        <v>5</v>
      </c>
      <c r="I89" s="0" t="n">
        <v>5</v>
      </c>
      <c r="J89" s="0" t="n">
        <v>0</v>
      </c>
      <c r="K89" s="0" t="n">
        <v>56.03</v>
      </c>
      <c r="L89" s="0" t="n">
        <v>51.29</v>
      </c>
      <c r="M89" s="0" t="n">
        <v>-4.74</v>
      </c>
      <c r="N89" s="0" t="n">
        <v>65752</v>
      </c>
      <c r="O89" s="0" t="n">
        <v>1</v>
      </c>
      <c r="P89" s="0" t="n">
        <v>0</v>
      </c>
      <c r="Q89" s="0" t="s">
        <v>33</v>
      </c>
      <c r="R89" s="0" t="n">
        <v>3336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3</v>
      </c>
      <c r="Y89" s="0" t="n">
        <v>7013</v>
      </c>
      <c r="Z89" s="0" t="s">
        <v>34</v>
      </c>
      <c r="AA89" s="0" t="s">
        <v>37</v>
      </c>
      <c r="AB89" s="0" t="n">
        <v>0</v>
      </c>
      <c r="AC89" s="0" t="n">
        <v>0</v>
      </c>
    </row>
    <row r="90" customFormat="false" ht="15" hidden="false" customHeight="false" outlineLevel="0" collapsed="false">
      <c r="A90" s="0" t="n">
        <v>451</v>
      </c>
      <c r="B90" s="0" t="s">
        <v>29</v>
      </c>
      <c r="C90" s="0" t="s">
        <v>43</v>
      </c>
      <c r="D90" s="0" t="s">
        <v>31</v>
      </c>
      <c r="E90" s="0" t="s">
        <v>32</v>
      </c>
      <c r="F90" s="0" t="s">
        <v>34</v>
      </c>
      <c r="G90" s="0" t="s">
        <v>53</v>
      </c>
      <c r="H90" s="0" t="n">
        <v>10</v>
      </c>
      <c r="I90" s="0" t="n">
        <v>5</v>
      </c>
      <c r="J90" s="0" t="n">
        <v>-5</v>
      </c>
      <c r="K90" s="0" t="n">
        <v>27.5</v>
      </c>
      <c r="L90" s="0" t="n">
        <v>52.85</v>
      </c>
      <c r="M90" s="0" t="n">
        <v>25.35</v>
      </c>
      <c r="N90" s="0" t="n">
        <v>128614</v>
      </c>
      <c r="O90" s="0" t="n">
        <v>1</v>
      </c>
      <c r="P90" s="0" t="n">
        <v>0</v>
      </c>
      <c r="Q90" s="0" t="s">
        <v>33</v>
      </c>
      <c r="R90" s="0" t="n">
        <v>3336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4</v>
      </c>
      <c r="Y90" s="0" t="n">
        <v>10734</v>
      </c>
      <c r="Z90" s="0" t="s">
        <v>33</v>
      </c>
      <c r="AA90" s="0" t="s">
        <v>40</v>
      </c>
      <c r="AB90" s="0" t="n">
        <v>0</v>
      </c>
      <c r="AC90" s="0" t="n">
        <v>0</v>
      </c>
    </row>
    <row r="91" customFormat="false" ht="15" hidden="false" customHeight="false" outlineLevel="0" collapsed="false">
      <c r="A91" s="0" t="n">
        <v>471</v>
      </c>
      <c r="B91" s="0" t="s">
        <v>36</v>
      </c>
      <c r="C91" s="0" t="s">
        <v>30</v>
      </c>
      <c r="D91" s="0" t="s">
        <v>31</v>
      </c>
      <c r="E91" s="0" t="s">
        <v>32</v>
      </c>
      <c r="F91" s="0" t="s">
        <v>34</v>
      </c>
      <c r="G91" s="0" t="s">
        <v>53</v>
      </c>
      <c r="H91" s="0" t="n">
        <v>9</v>
      </c>
      <c r="I91" s="0" t="n">
        <v>9</v>
      </c>
      <c r="J91" s="0" t="n">
        <v>0</v>
      </c>
      <c r="K91" s="0" t="n">
        <v>33.33</v>
      </c>
      <c r="L91" s="0" t="n">
        <v>33.69</v>
      </c>
      <c r="M91" s="0" t="n">
        <v>0.36</v>
      </c>
      <c r="N91" s="0" t="n">
        <v>100396</v>
      </c>
      <c r="O91" s="0" t="n">
        <v>1</v>
      </c>
      <c r="P91" s="0" t="n">
        <v>0</v>
      </c>
      <c r="Q91" s="0" t="s">
        <v>33</v>
      </c>
      <c r="R91" s="0" t="n">
        <v>3336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5</v>
      </c>
      <c r="Y91" s="0" t="n">
        <v>12468</v>
      </c>
      <c r="Z91" s="0" t="s">
        <v>33</v>
      </c>
      <c r="AA91" s="0" t="s">
        <v>40</v>
      </c>
      <c r="AB91" s="0" t="n">
        <v>0</v>
      </c>
      <c r="AC91" s="0" t="n">
        <v>0</v>
      </c>
    </row>
    <row r="92" customFormat="false" ht="15" hidden="false" customHeight="false" outlineLevel="0" collapsed="false">
      <c r="A92" s="0" t="n">
        <v>474</v>
      </c>
      <c r="B92" s="0" t="s">
        <v>29</v>
      </c>
      <c r="C92" s="0" t="s">
        <v>45</v>
      </c>
      <c r="D92" s="0" t="s">
        <v>31</v>
      </c>
      <c r="E92" s="0" t="s">
        <v>32</v>
      </c>
      <c r="F92" s="0" t="s">
        <v>34</v>
      </c>
      <c r="G92" s="0" t="s">
        <v>53</v>
      </c>
      <c r="H92" s="0" t="n">
        <v>5</v>
      </c>
      <c r="I92" s="0" t="n">
        <v>5</v>
      </c>
      <c r="J92" s="0" t="n">
        <v>0</v>
      </c>
      <c r="K92" s="0" t="n">
        <v>43.91</v>
      </c>
      <c r="L92" s="0" t="n">
        <v>35.34</v>
      </c>
      <c r="M92" s="0" t="n">
        <v>-8.57</v>
      </c>
      <c r="N92" s="0" t="n">
        <v>61916</v>
      </c>
      <c r="O92" s="0" t="n">
        <v>1</v>
      </c>
      <c r="P92" s="0" t="n">
        <v>0</v>
      </c>
      <c r="Q92" s="0" t="s">
        <v>33</v>
      </c>
      <c r="R92" s="0" t="n">
        <v>3336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Z92" s="0" t="s">
        <v>33</v>
      </c>
      <c r="AA92" s="0" t="s">
        <v>40</v>
      </c>
      <c r="AB92" s="0" t="n">
        <v>0</v>
      </c>
      <c r="AC92" s="0" t="n">
        <v>0</v>
      </c>
    </row>
    <row r="93" customFormat="false" ht="15" hidden="false" customHeight="false" outlineLevel="0" collapsed="false">
      <c r="A93" s="0" t="n">
        <v>477</v>
      </c>
      <c r="B93" s="0" t="s">
        <v>29</v>
      </c>
      <c r="C93" s="0" t="s">
        <v>30</v>
      </c>
      <c r="D93" s="0" t="s">
        <v>31</v>
      </c>
      <c r="E93" s="0" t="s">
        <v>32</v>
      </c>
      <c r="F93" s="0" t="s">
        <v>34</v>
      </c>
      <c r="G93" s="0" t="s">
        <v>53</v>
      </c>
      <c r="H93" s="0" t="n">
        <v>6</v>
      </c>
      <c r="I93" s="0" t="n">
        <v>7</v>
      </c>
      <c r="J93" s="0" t="n">
        <v>1</v>
      </c>
      <c r="K93" s="0" t="n">
        <v>54.17</v>
      </c>
      <c r="L93" s="0" t="n">
        <v>49.18</v>
      </c>
      <c r="M93" s="0" t="n">
        <v>-4.99</v>
      </c>
      <c r="N93" s="0" t="n">
        <v>92518</v>
      </c>
      <c r="O93" s="0" t="n">
        <v>1</v>
      </c>
      <c r="P93" s="0" t="n">
        <v>0</v>
      </c>
      <c r="Q93" s="0" t="s">
        <v>33</v>
      </c>
      <c r="R93" s="0" t="n">
        <v>3336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4</v>
      </c>
      <c r="Y93" s="0" t="n">
        <v>5656</v>
      </c>
      <c r="Z93" s="0" t="s">
        <v>33</v>
      </c>
      <c r="AA93" s="0" t="s">
        <v>40</v>
      </c>
      <c r="AB93" s="0" t="n">
        <v>0</v>
      </c>
      <c r="AC93" s="0" t="n">
        <v>0</v>
      </c>
    </row>
    <row r="94" customFormat="false" ht="15" hidden="false" customHeight="false" outlineLevel="0" collapsed="false">
      <c r="A94" s="0" t="n">
        <v>478</v>
      </c>
      <c r="B94" s="0" t="s">
        <v>42</v>
      </c>
      <c r="C94" s="0" t="s">
        <v>39</v>
      </c>
      <c r="D94" s="0" t="s">
        <v>31</v>
      </c>
      <c r="E94" s="0" t="s">
        <v>32</v>
      </c>
      <c r="F94" s="0" t="s">
        <v>34</v>
      </c>
      <c r="G94" s="0" t="s">
        <v>53</v>
      </c>
      <c r="H94" s="0" t="n">
        <v>3</v>
      </c>
      <c r="I94" s="0" t="n">
        <v>2</v>
      </c>
      <c r="J94" s="0" t="n">
        <v>-1</v>
      </c>
      <c r="K94" s="0" t="n">
        <v>68.77</v>
      </c>
      <c r="L94" s="0" t="n">
        <v>47.53</v>
      </c>
      <c r="M94" s="0" t="n">
        <v>-21.24</v>
      </c>
      <c r="N94" s="0" t="n">
        <v>49384</v>
      </c>
      <c r="O94" s="0" t="n">
        <v>1</v>
      </c>
      <c r="P94" s="0" t="n">
        <v>0</v>
      </c>
      <c r="Q94" s="0" t="s">
        <v>33</v>
      </c>
      <c r="R94" s="0" t="n">
        <v>3336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2</v>
      </c>
      <c r="Y94" s="0" t="n">
        <v>6734</v>
      </c>
      <c r="Z94" s="0" t="s">
        <v>33</v>
      </c>
      <c r="AA94" s="0" t="s">
        <v>40</v>
      </c>
      <c r="AB94" s="0" t="n">
        <v>0</v>
      </c>
      <c r="AC94" s="0" t="n">
        <v>0</v>
      </c>
    </row>
    <row r="95" customFormat="false" ht="15" hidden="false" customHeight="false" outlineLevel="0" collapsed="false">
      <c r="A95" s="0" t="n">
        <v>484</v>
      </c>
      <c r="B95" s="0" t="s">
        <v>42</v>
      </c>
      <c r="C95" s="0" t="s">
        <v>30</v>
      </c>
      <c r="D95" s="0" t="s">
        <v>31</v>
      </c>
      <c r="E95" s="0" t="s">
        <v>32</v>
      </c>
      <c r="F95" s="0" t="s">
        <v>34</v>
      </c>
      <c r="G95" s="0" t="s">
        <v>53</v>
      </c>
      <c r="H95" s="0" t="n">
        <v>7</v>
      </c>
      <c r="I95" s="0" t="n">
        <v>8</v>
      </c>
      <c r="J95" s="0" t="n">
        <v>1</v>
      </c>
      <c r="K95" s="0" t="n">
        <v>44.83</v>
      </c>
      <c r="L95" s="0" t="n">
        <v>43.58</v>
      </c>
      <c r="M95" s="0" t="n">
        <v>-1.25</v>
      </c>
      <c r="N95" s="0" t="n">
        <v>102112</v>
      </c>
      <c r="O95" s="0" t="n">
        <v>1</v>
      </c>
      <c r="P95" s="0" t="n">
        <v>0</v>
      </c>
      <c r="Q95" s="0" t="s">
        <v>33</v>
      </c>
      <c r="R95" s="0" t="n">
        <v>3336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4</v>
      </c>
      <c r="Y95" s="0" t="n">
        <v>7932</v>
      </c>
      <c r="Z95" s="0" t="s">
        <v>33</v>
      </c>
      <c r="AA95" s="0" t="s">
        <v>40</v>
      </c>
      <c r="AB95" s="0" t="n">
        <v>0</v>
      </c>
      <c r="AC95" s="0" t="n">
        <v>0</v>
      </c>
    </row>
    <row r="96" customFormat="false" ht="15" hidden="false" customHeight="false" outlineLevel="0" collapsed="false">
      <c r="A96" s="0" t="n">
        <v>487</v>
      </c>
      <c r="B96" s="0" t="s">
        <v>42</v>
      </c>
      <c r="C96" s="0" t="s">
        <v>39</v>
      </c>
      <c r="D96" s="0" t="s">
        <v>31</v>
      </c>
      <c r="E96" s="0" t="s">
        <v>32</v>
      </c>
      <c r="F96" s="0" t="s">
        <v>34</v>
      </c>
      <c r="G96" s="0" t="s">
        <v>53</v>
      </c>
      <c r="H96" s="0" t="n">
        <v>5</v>
      </c>
      <c r="I96" s="0" t="n">
        <v>4</v>
      </c>
      <c r="J96" s="0" t="n">
        <v>-1</v>
      </c>
      <c r="K96" s="0" t="n">
        <v>65.33</v>
      </c>
      <c r="L96" s="0" t="n">
        <v>59.91</v>
      </c>
      <c r="M96" s="0" t="n">
        <v>-5.42</v>
      </c>
      <c r="N96" s="0" t="n">
        <v>68852</v>
      </c>
      <c r="O96" s="0" t="n">
        <v>1</v>
      </c>
      <c r="P96" s="0" t="n">
        <v>0</v>
      </c>
      <c r="Q96" s="0" t="s">
        <v>33</v>
      </c>
      <c r="R96" s="0" t="n">
        <v>3336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4</v>
      </c>
      <c r="Y96" s="0" t="n">
        <v>4750</v>
      </c>
      <c r="Z96" s="0" t="s">
        <v>34</v>
      </c>
      <c r="AA96" s="0" t="s">
        <v>37</v>
      </c>
      <c r="AB96" s="0" t="n">
        <v>0</v>
      </c>
      <c r="AC96" s="0" t="n">
        <v>0</v>
      </c>
    </row>
    <row r="97" customFormat="false" ht="15" hidden="false" customHeight="false" outlineLevel="0" collapsed="false">
      <c r="A97" s="0" t="n">
        <v>495</v>
      </c>
      <c r="B97" s="0" t="s">
        <v>36</v>
      </c>
      <c r="C97" s="0" t="s">
        <v>41</v>
      </c>
      <c r="D97" s="0" t="s">
        <v>54</v>
      </c>
      <c r="E97" s="0" t="s">
        <v>50</v>
      </c>
      <c r="F97" s="0" t="s">
        <v>33</v>
      </c>
      <c r="H97" s="0" t="n">
        <v>5</v>
      </c>
      <c r="I97" s="0" t="n">
        <v>5</v>
      </c>
      <c r="J97" s="0" t="n">
        <v>0</v>
      </c>
      <c r="K97" s="0" t="n">
        <v>46.49</v>
      </c>
      <c r="L97" s="0" t="n">
        <v>46.49</v>
      </c>
      <c r="M97" s="0" t="n">
        <v>0</v>
      </c>
      <c r="N97" s="0" t="n">
        <v>127315</v>
      </c>
      <c r="O97" s="0" t="n">
        <v>4</v>
      </c>
      <c r="P97" s="0" t="n">
        <v>0</v>
      </c>
      <c r="Q97" s="0" t="s">
        <v>34</v>
      </c>
      <c r="R97" s="0" t="n">
        <v>2828</v>
      </c>
      <c r="S97" s="0" t="n">
        <v>0</v>
      </c>
      <c r="T97" s="0" t="n">
        <v>0</v>
      </c>
      <c r="U97" s="0" t="n">
        <v>0</v>
      </c>
      <c r="V97" s="0" t="n">
        <v>3</v>
      </c>
      <c r="W97" s="0" t="n">
        <v>0</v>
      </c>
      <c r="X97" s="0" t="n">
        <v>0</v>
      </c>
      <c r="Z97" s="0" t="s">
        <v>34</v>
      </c>
      <c r="AA97" s="0" t="s">
        <v>37</v>
      </c>
      <c r="AB97" s="0" t="n">
        <v>0</v>
      </c>
      <c r="AC97" s="0" t="n">
        <v>0</v>
      </c>
    </row>
    <row r="98" customFormat="false" ht="15" hidden="false" customHeight="false" outlineLevel="0" collapsed="false">
      <c r="A98" s="0" t="n">
        <v>499</v>
      </c>
      <c r="B98" s="0" t="s">
        <v>29</v>
      </c>
      <c r="C98" s="0" t="s">
        <v>46</v>
      </c>
      <c r="D98" s="0" t="s">
        <v>54</v>
      </c>
      <c r="E98" s="0" t="s">
        <v>50</v>
      </c>
      <c r="F98" s="0" t="s">
        <v>33</v>
      </c>
      <c r="H98" s="0" t="n">
        <v>3</v>
      </c>
      <c r="I98" s="0" t="n">
        <v>3</v>
      </c>
      <c r="J98" s="0" t="n">
        <v>0</v>
      </c>
      <c r="K98" s="0" t="n">
        <v>70.07</v>
      </c>
      <c r="L98" s="0" t="n">
        <v>70.07</v>
      </c>
      <c r="M98" s="0" t="n">
        <v>0</v>
      </c>
      <c r="N98" s="0" t="n">
        <v>127311</v>
      </c>
      <c r="O98" s="0" t="n">
        <v>4</v>
      </c>
      <c r="P98" s="0" t="n">
        <v>0</v>
      </c>
      <c r="Q98" s="0" t="s">
        <v>34</v>
      </c>
      <c r="R98" s="0" t="n">
        <v>2828</v>
      </c>
      <c r="S98" s="0" t="n">
        <v>0</v>
      </c>
      <c r="T98" s="0" t="n">
        <v>0</v>
      </c>
      <c r="U98" s="0" t="n">
        <v>0</v>
      </c>
      <c r="V98" s="0" t="n">
        <v>3</v>
      </c>
      <c r="W98" s="0" t="n">
        <v>0</v>
      </c>
      <c r="X98" s="0" t="n">
        <v>4</v>
      </c>
      <c r="Y98" s="0" t="n">
        <v>3257</v>
      </c>
      <c r="Z98" s="0" t="s">
        <v>34</v>
      </c>
      <c r="AA98" s="0" t="s">
        <v>37</v>
      </c>
      <c r="AB98" s="0" t="n">
        <v>0</v>
      </c>
      <c r="AC98" s="0" t="n">
        <v>0</v>
      </c>
    </row>
    <row r="99" customFormat="false" ht="15" hidden="false" customHeight="false" outlineLevel="0" collapsed="false">
      <c r="A99" s="0" t="n">
        <v>502</v>
      </c>
      <c r="B99" s="0" t="s">
        <v>42</v>
      </c>
      <c r="C99" s="0" t="s">
        <v>38</v>
      </c>
      <c r="D99" s="0" t="s">
        <v>31</v>
      </c>
      <c r="E99" s="0" t="s">
        <v>32</v>
      </c>
      <c r="F99" s="0" t="s">
        <v>33</v>
      </c>
      <c r="G99" s="0" t="s">
        <v>53</v>
      </c>
      <c r="H99" s="0" t="n">
        <v>2</v>
      </c>
      <c r="I99" s="0" t="n">
        <v>2</v>
      </c>
      <c r="J99" s="0" t="n">
        <v>0</v>
      </c>
      <c r="K99" s="0" t="n">
        <v>89.17</v>
      </c>
      <c r="L99" s="0" t="n">
        <v>89.17</v>
      </c>
      <c r="M99" s="0" t="n">
        <v>0</v>
      </c>
      <c r="N99" s="0" t="n">
        <v>69087</v>
      </c>
      <c r="O99" s="0" t="n">
        <v>2</v>
      </c>
      <c r="P99" s="0" t="n">
        <v>0</v>
      </c>
      <c r="Q99" s="0" t="s">
        <v>33</v>
      </c>
      <c r="R99" s="0" t="n">
        <v>3336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1</v>
      </c>
      <c r="X99" s="0" t="n">
        <v>3</v>
      </c>
      <c r="Y99" s="0" t="n">
        <v>2144</v>
      </c>
      <c r="Z99" s="0" t="s">
        <v>34</v>
      </c>
      <c r="AA99" s="0" t="s">
        <v>37</v>
      </c>
      <c r="AB99" s="0" t="n">
        <v>0</v>
      </c>
      <c r="AC99" s="0" t="n">
        <v>0</v>
      </c>
    </row>
    <row r="100" customFormat="false" ht="15" hidden="false" customHeight="false" outlineLevel="0" collapsed="false">
      <c r="A100" s="0" t="n">
        <v>503</v>
      </c>
      <c r="B100" s="0" t="s">
        <v>29</v>
      </c>
      <c r="C100" s="0" t="s">
        <v>51</v>
      </c>
      <c r="D100" s="0" t="s">
        <v>31</v>
      </c>
      <c r="E100" s="0" t="s">
        <v>32</v>
      </c>
      <c r="F100" s="0" t="s">
        <v>34</v>
      </c>
      <c r="G100" s="0" t="s">
        <v>53</v>
      </c>
      <c r="H100" s="0" t="n">
        <v>6</v>
      </c>
      <c r="I100" s="0" t="n">
        <v>6</v>
      </c>
      <c r="J100" s="0" t="n">
        <v>0</v>
      </c>
      <c r="K100" s="0" t="n">
        <v>53.07</v>
      </c>
      <c r="L100" s="0" t="n">
        <v>56.79</v>
      </c>
      <c r="M100" s="0" t="n">
        <v>3.72</v>
      </c>
      <c r="N100" s="0" t="n">
        <v>56033</v>
      </c>
      <c r="O100" s="0" t="n">
        <v>1</v>
      </c>
      <c r="P100" s="0" t="n">
        <v>0</v>
      </c>
      <c r="Q100" s="0" t="s">
        <v>33</v>
      </c>
      <c r="R100" s="0" t="n">
        <v>3336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Z100" s="0" t="s">
        <v>34</v>
      </c>
      <c r="AA100" s="0" t="s">
        <v>37</v>
      </c>
      <c r="AB100" s="0" t="n">
        <v>0</v>
      </c>
      <c r="AC100" s="0" t="n">
        <v>0</v>
      </c>
    </row>
    <row r="101" customFormat="false" ht="15" hidden="false" customHeight="false" outlineLevel="0" collapsed="false">
      <c r="A101" s="0" t="n">
        <v>505</v>
      </c>
      <c r="B101" s="0" t="s">
        <v>29</v>
      </c>
      <c r="C101" s="0" t="s">
        <v>30</v>
      </c>
      <c r="D101" s="0" t="s">
        <v>31</v>
      </c>
      <c r="E101" s="0" t="s">
        <v>32</v>
      </c>
      <c r="F101" s="0" t="s">
        <v>33</v>
      </c>
      <c r="G101" s="0" t="s">
        <v>53</v>
      </c>
      <c r="H101" s="0" t="n">
        <v>4</v>
      </c>
      <c r="I101" s="0" t="n">
        <v>4</v>
      </c>
      <c r="J101" s="0" t="n">
        <v>0</v>
      </c>
      <c r="K101" s="0" t="n">
        <v>48.01</v>
      </c>
      <c r="L101" s="0" t="n">
        <v>46.6</v>
      </c>
      <c r="M101" s="0" t="n">
        <v>-1.41</v>
      </c>
      <c r="N101" s="0" t="n">
        <v>135788</v>
      </c>
      <c r="O101" s="0" t="n">
        <v>2</v>
      </c>
      <c r="P101" s="0" t="n">
        <v>0</v>
      </c>
      <c r="Q101" s="0" t="s">
        <v>33</v>
      </c>
      <c r="R101" s="0" t="n">
        <v>3336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4</v>
      </c>
      <c r="Y101" s="0" t="n">
        <v>6449</v>
      </c>
      <c r="Z101" s="0" t="s">
        <v>34</v>
      </c>
      <c r="AA101" s="0" t="s">
        <v>37</v>
      </c>
      <c r="AB101" s="0" t="n">
        <v>0</v>
      </c>
      <c r="AC101" s="0" t="n">
        <v>0</v>
      </c>
    </row>
    <row r="102" customFormat="false" ht="15" hidden="false" customHeight="false" outlineLevel="0" collapsed="false">
      <c r="A102" s="0" t="n">
        <v>511</v>
      </c>
      <c r="B102" s="0" t="s">
        <v>42</v>
      </c>
      <c r="C102" s="0" t="s">
        <v>45</v>
      </c>
      <c r="D102" s="0" t="s">
        <v>54</v>
      </c>
      <c r="E102" s="0" t="s">
        <v>50</v>
      </c>
      <c r="F102" s="0" t="s">
        <v>33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88232</v>
      </c>
      <c r="O102" s="0" t="n">
        <v>4</v>
      </c>
      <c r="P102" s="0" t="n">
        <v>0</v>
      </c>
      <c r="Q102" s="0" t="s">
        <v>34</v>
      </c>
      <c r="R102" s="0" t="n">
        <v>2828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Z102" s="0" t="s">
        <v>33</v>
      </c>
      <c r="AA102" s="0" t="s">
        <v>40</v>
      </c>
      <c r="AB102" s="0" t="n">
        <v>0</v>
      </c>
      <c r="AC102" s="0" t="n">
        <v>0</v>
      </c>
    </row>
    <row r="103" customFormat="false" ht="15" hidden="false" customHeight="false" outlineLevel="0" collapsed="false">
      <c r="A103" s="0" t="n">
        <v>513</v>
      </c>
      <c r="B103" s="0" t="s">
        <v>29</v>
      </c>
      <c r="C103" s="0" t="s">
        <v>48</v>
      </c>
      <c r="D103" s="0" t="s">
        <v>31</v>
      </c>
      <c r="E103" s="0" t="s">
        <v>32</v>
      </c>
      <c r="F103" s="0" t="s">
        <v>34</v>
      </c>
      <c r="G103" s="0" t="s">
        <v>53</v>
      </c>
      <c r="H103" s="0" t="n">
        <v>5</v>
      </c>
      <c r="I103" s="0" t="n">
        <v>4</v>
      </c>
      <c r="J103" s="0" t="n">
        <v>-1</v>
      </c>
      <c r="K103" s="0" t="n">
        <v>60.48</v>
      </c>
      <c r="L103" s="0" t="n">
        <v>54.18</v>
      </c>
      <c r="M103" s="0" t="n">
        <v>-6.3</v>
      </c>
      <c r="N103" s="0" t="n">
        <v>58538</v>
      </c>
      <c r="O103" s="0" t="n">
        <v>1</v>
      </c>
      <c r="P103" s="0" t="n">
        <v>0</v>
      </c>
      <c r="Q103" s="0" t="s">
        <v>33</v>
      </c>
      <c r="R103" s="0" t="n">
        <v>3334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2</v>
      </c>
      <c r="Y103" s="0" t="n">
        <v>5784</v>
      </c>
      <c r="Z103" s="0" t="s">
        <v>33</v>
      </c>
      <c r="AA103" s="0" t="s">
        <v>40</v>
      </c>
      <c r="AB103" s="0" t="n">
        <v>0</v>
      </c>
      <c r="AC103" s="0" t="n">
        <v>0</v>
      </c>
    </row>
    <row r="104" customFormat="false" ht="15" hidden="false" customHeight="false" outlineLevel="0" collapsed="false">
      <c r="A104" s="0" t="n">
        <v>521</v>
      </c>
      <c r="B104" s="0" t="s">
        <v>42</v>
      </c>
      <c r="C104" s="0" t="s">
        <v>47</v>
      </c>
      <c r="D104" s="0" t="s">
        <v>54</v>
      </c>
      <c r="E104" s="0" t="s">
        <v>50</v>
      </c>
      <c r="F104" s="0" t="s">
        <v>33</v>
      </c>
      <c r="G104" s="0" t="s">
        <v>55</v>
      </c>
      <c r="H104" s="0" t="n">
        <v>3</v>
      </c>
      <c r="I104" s="0" t="n">
        <v>3</v>
      </c>
      <c r="J104" s="0" t="n">
        <v>0</v>
      </c>
      <c r="K104" s="0" t="n">
        <v>57.5</v>
      </c>
      <c r="L104" s="0" t="n">
        <v>57.5</v>
      </c>
      <c r="M104" s="0" t="n">
        <v>0</v>
      </c>
      <c r="N104" s="0" t="n">
        <v>65186</v>
      </c>
      <c r="O104" s="0" t="n">
        <v>4</v>
      </c>
      <c r="P104" s="0" t="n">
        <v>0</v>
      </c>
      <c r="Q104" s="0" t="s">
        <v>34</v>
      </c>
      <c r="R104" s="0" t="n">
        <v>2828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3</v>
      </c>
      <c r="X104" s="0" t="n">
        <v>0</v>
      </c>
      <c r="Z104" s="0" t="s">
        <v>34</v>
      </c>
      <c r="AA104" s="0" t="s">
        <v>37</v>
      </c>
      <c r="AB104" s="0" t="n">
        <v>0</v>
      </c>
      <c r="AC104" s="0" t="n">
        <v>0</v>
      </c>
    </row>
    <row r="105" customFormat="false" ht="15" hidden="false" customHeight="false" outlineLevel="0" collapsed="false">
      <c r="A105" s="0" t="n">
        <v>523</v>
      </c>
      <c r="B105" s="0" t="s">
        <v>42</v>
      </c>
      <c r="C105" s="0" t="s">
        <v>45</v>
      </c>
      <c r="D105" s="0" t="s">
        <v>31</v>
      </c>
      <c r="E105" s="0" t="s">
        <v>32</v>
      </c>
      <c r="F105" s="0" t="s">
        <v>34</v>
      </c>
      <c r="G105" s="0" t="s">
        <v>53</v>
      </c>
      <c r="H105" s="0" t="n">
        <v>2</v>
      </c>
      <c r="I105" s="0" t="n">
        <v>2</v>
      </c>
      <c r="J105" s="0" t="n">
        <v>0</v>
      </c>
      <c r="K105" s="0" t="n">
        <v>41.7</v>
      </c>
      <c r="L105" s="0" t="n">
        <v>43.95</v>
      </c>
      <c r="M105" s="0" t="n">
        <v>2.25</v>
      </c>
      <c r="N105" s="0" t="n">
        <v>70357</v>
      </c>
      <c r="O105" s="0" t="n">
        <v>1</v>
      </c>
      <c r="P105" s="0" t="n">
        <v>0</v>
      </c>
      <c r="Q105" s="0" t="s">
        <v>33</v>
      </c>
      <c r="R105" s="0" t="n">
        <v>3336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Z105" s="0" t="s">
        <v>34</v>
      </c>
      <c r="AA105" s="0" t="s">
        <v>37</v>
      </c>
      <c r="AB105" s="0" t="n">
        <v>0</v>
      </c>
      <c r="AC105" s="0" t="n">
        <v>0</v>
      </c>
    </row>
    <row r="106" customFormat="false" ht="15" hidden="false" customHeight="false" outlineLevel="0" collapsed="false">
      <c r="A106" s="0" t="n">
        <v>527</v>
      </c>
      <c r="B106" s="0" t="s">
        <v>29</v>
      </c>
      <c r="C106" s="0" t="s">
        <v>39</v>
      </c>
      <c r="D106" s="0" t="s">
        <v>31</v>
      </c>
      <c r="E106" s="0" t="s">
        <v>32</v>
      </c>
      <c r="F106" s="0" t="s">
        <v>34</v>
      </c>
      <c r="G106" s="0" t="s">
        <v>53</v>
      </c>
      <c r="H106" s="0" t="n">
        <v>4</v>
      </c>
      <c r="I106" s="0" t="n">
        <v>4</v>
      </c>
      <c r="J106" s="0" t="n">
        <v>0</v>
      </c>
      <c r="K106" s="0" t="n">
        <v>52.71</v>
      </c>
      <c r="L106" s="0" t="n">
        <v>49</v>
      </c>
      <c r="M106" s="0" t="n">
        <v>-3.71</v>
      </c>
      <c r="N106" s="0" t="n">
        <v>99457</v>
      </c>
      <c r="O106" s="0" t="n">
        <v>1</v>
      </c>
      <c r="P106" s="0" t="n">
        <v>0</v>
      </c>
      <c r="Q106" s="0" t="s">
        <v>33</v>
      </c>
      <c r="R106" s="0" t="n">
        <v>3336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5</v>
      </c>
      <c r="Y106" s="0" t="n">
        <v>7714</v>
      </c>
      <c r="Z106" s="0" t="s">
        <v>34</v>
      </c>
      <c r="AA106" s="0" t="s">
        <v>37</v>
      </c>
      <c r="AB106" s="0" t="n">
        <v>0</v>
      </c>
      <c r="AC106" s="0" t="n">
        <v>0</v>
      </c>
    </row>
    <row r="107" customFormat="false" ht="15" hidden="false" customHeight="false" outlineLevel="0" collapsed="false">
      <c r="A107" s="0" t="n">
        <v>534</v>
      </c>
      <c r="B107" s="0" t="s">
        <v>29</v>
      </c>
      <c r="C107" s="0" t="s">
        <v>46</v>
      </c>
      <c r="D107" s="0" t="s">
        <v>31</v>
      </c>
      <c r="E107" s="0" t="s">
        <v>32</v>
      </c>
      <c r="F107" s="0" t="s">
        <v>34</v>
      </c>
      <c r="G107" s="0" t="s">
        <v>53</v>
      </c>
      <c r="H107" s="0" t="n">
        <v>7</v>
      </c>
      <c r="I107" s="0" t="n">
        <v>3</v>
      </c>
      <c r="J107" s="0" t="n">
        <v>-4</v>
      </c>
      <c r="K107" s="0" t="n">
        <v>37.86</v>
      </c>
      <c r="L107" s="0" t="n">
        <v>45.16</v>
      </c>
      <c r="M107" s="0" t="n">
        <v>7.3</v>
      </c>
      <c r="N107" s="0" t="n">
        <v>58986</v>
      </c>
      <c r="O107" s="0" t="n">
        <v>1</v>
      </c>
      <c r="P107" s="0" t="n">
        <v>0</v>
      </c>
      <c r="Q107" s="0" t="s">
        <v>33</v>
      </c>
      <c r="R107" s="0" t="n">
        <v>3336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2</v>
      </c>
      <c r="Y107" s="0" t="n">
        <v>8757</v>
      </c>
      <c r="Z107" s="0" t="s">
        <v>34</v>
      </c>
      <c r="AA107" s="0" t="s">
        <v>37</v>
      </c>
      <c r="AB107" s="0" t="n">
        <v>0</v>
      </c>
      <c r="AC107" s="0" t="n">
        <v>0</v>
      </c>
    </row>
    <row r="108" customFormat="false" ht="15" hidden="false" customHeight="false" outlineLevel="0" collapsed="false">
      <c r="A108" s="0" t="n">
        <v>540</v>
      </c>
      <c r="B108" s="0" t="s">
        <v>42</v>
      </c>
      <c r="C108" s="0" t="s">
        <v>38</v>
      </c>
      <c r="D108" s="0" t="s">
        <v>31</v>
      </c>
      <c r="E108" s="0" t="s">
        <v>32</v>
      </c>
      <c r="F108" s="0" t="s">
        <v>34</v>
      </c>
      <c r="G108" s="0" t="s">
        <v>53</v>
      </c>
      <c r="H108" s="0" t="n">
        <v>2</v>
      </c>
      <c r="I108" s="0" t="n">
        <v>2</v>
      </c>
      <c r="J108" s="0" t="n">
        <v>0</v>
      </c>
      <c r="K108" s="0" t="n">
        <v>76.5</v>
      </c>
      <c r="L108" s="0" t="n">
        <v>76.5</v>
      </c>
      <c r="M108" s="0" t="n">
        <v>0</v>
      </c>
      <c r="N108" s="0" t="n">
        <v>39344</v>
      </c>
      <c r="O108" s="0" t="n">
        <v>1</v>
      </c>
      <c r="P108" s="0" t="n">
        <v>0</v>
      </c>
      <c r="Q108" s="0" t="s">
        <v>33</v>
      </c>
      <c r="R108" s="0" t="n">
        <v>3336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2</v>
      </c>
      <c r="Y108" s="0" t="n">
        <v>2899</v>
      </c>
      <c r="Z108" s="0" t="s">
        <v>34</v>
      </c>
      <c r="AA108" s="0" t="s">
        <v>37</v>
      </c>
      <c r="AB108" s="0" t="n">
        <v>0</v>
      </c>
      <c r="AC108" s="0" t="n">
        <v>0</v>
      </c>
    </row>
    <row r="109" customFormat="false" ht="15" hidden="false" customHeight="false" outlineLevel="0" collapsed="false">
      <c r="A109" s="0" t="n">
        <v>542</v>
      </c>
      <c r="B109" s="0" t="s">
        <v>42</v>
      </c>
      <c r="C109" s="0" t="s">
        <v>45</v>
      </c>
      <c r="D109" s="0" t="s">
        <v>54</v>
      </c>
      <c r="E109" s="0" t="s">
        <v>50</v>
      </c>
      <c r="F109" s="0" t="s">
        <v>33</v>
      </c>
      <c r="H109" s="0" t="n">
        <v>2</v>
      </c>
      <c r="I109" s="0" t="n">
        <v>2</v>
      </c>
      <c r="J109" s="0" t="n">
        <v>0</v>
      </c>
      <c r="K109" s="0" t="n">
        <v>59.69</v>
      </c>
      <c r="L109" s="0" t="n">
        <v>59.69</v>
      </c>
      <c r="M109" s="0" t="n">
        <v>0</v>
      </c>
      <c r="N109" s="0" t="n">
        <v>83228</v>
      </c>
      <c r="O109" s="0" t="n">
        <v>4</v>
      </c>
      <c r="P109" s="0" t="n">
        <v>0</v>
      </c>
      <c r="Q109" s="0" t="s">
        <v>34</v>
      </c>
      <c r="R109" s="0" t="n">
        <v>2828</v>
      </c>
      <c r="S109" s="0" t="n">
        <v>0</v>
      </c>
      <c r="T109" s="0" t="n">
        <v>0</v>
      </c>
      <c r="U109" s="0" t="n">
        <v>3</v>
      </c>
      <c r="V109" s="0" t="n">
        <v>0</v>
      </c>
      <c r="W109" s="0" t="n">
        <v>0</v>
      </c>
      <c r="X109" s="0" t="n">
        <v>0</v>
      </c>
      <c r="Z109" s="0" t="s">
        <v>34</v>
      </c>
      <c r="AA109" s="0" t="s">
        <v>37</v>
      </c>
      <c r="AB109" s="0" t="n">
        <v>0</v>
      </c>
      <c r="AC109" s="0" t="n">
        <v>0</v>
      </c>
    </row>
    <row r="110" customFormat="false" ht="15" hidden="false" customHeight="false" outlineLevel="0" collapsed="false">
      <c r="A110" s="0" t="n">
        <v>552</v>
      </c>
      <c r="B110" s="0" t="s">
        <v>29</v>
      </c>
      <c r="C110" s="0" t="s">
        <v>30</v>
      </c>
      <c r="D110" s="0" t="s">
        <v>31</v>
      </c>
      <c r="E110" s="0" t="s">
        <v>32</v>
      </c>
      <c r="F110" s="0" t="s">
        <v>34</v>
      </c>
      <c r="G110" s="0" t="s">
        <v>53</v>
      </c>
      <c r="H110" s="0" t="n">
        <v>5</v>
      </c>
      <c r="I110" s="0" t="n">
        <v>5</v>
      </c>
      <c r="J110" s="0" t="n">
        <v>0</v>
      </c>
      <c r="K110" s="0" t="n">
        <v>66.41</v>
      </c>
      <c r="L110" s="0" t="n">
        <v>62.24</v>
      </c>
      <c r="M110" s="0" t="n">
        <v>-4.17</v>
      </c>
      <c r="N110" s="0" t="n">
        <v>79327</v>
      </c>
      <c r="O110" s="0" t="n">
        <v>1</v>
      </c>
      <c r="P110" s="0" t="n">
        <v>0</v>
      </c>
      <c r="Q110" s="0" t="s">
        <v>33</v>
      </c>
      <c r="R110" s="0" t="n">
        <v>3336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4</v>
      </c>
      <c r="Y110" s="0" t="n">
        <v>4635</v>
      </c>
      <c r="Z110" s="0" t="s">
        <v>33</v>
      </c>
      <c r="AA110" s="0" t="s">
        <v>40</v>
      </c>
      <c r="AB110" s="0" t="n">
        <v>0</v>
      </c>
      <c r="AC110" s="0" t="n">
        <v>0</v>
      </c>
    </row>
    <row r="111" customFormat="false" ht="15" hidden="false" customHeight="false" outlineLevel="0" collapsed="false">
      <c r="A111" s="0" t="n">
        <v>554</v>
      </c>
      <c r="B111" s="0" t="s">
        <v>29</v>
      </c>
      <c r="C111" s="0" t="s">
        <v>30</v>
      </c>
      <c r="D111" s="0" t="s">
        <v>31</v>
      </c>
      <c r="E111" s="0" t="s">
        <v>32</v>
      </c>
      <c r="F111" s="0" t="s">
        <v>34</v>
      </c>
      <c r="G111" s="0" t="s">
        <v>53</v>
      </c>
      <c r="H111" s="0" t="n">
        <v>6</v>
      </c>
      <c r="I111" s="0" t="n">
        <v>5</v>
      </c>
      <c r="J111" s="0" t="n">
        <v>-1</v>
      </c>
      <c r="K111" s="0" t="n">
        <v>47.55</v>
      </c>
      <c r="L111" s="0" t="n">
        <v>50.1</v>
      </c>
      <c r="M111" s="0" t="n">
        <v>2.55</v>
      </c>
      <c r="N111" s="0" t="n">
        <v>94974</v>
      </c>
      <c r="O111" s="0" t="n">
        <v>1</v>
      </c>
      <c r="P111" s="0" t="n">
        <v>0</v>
      </c>
      <c r="Q111" s="0" t="s">
        <v>33</v>
      </c>
      <c r="R111" s="0" t="n">
        <v>3336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4</v>
      </c>
      <c r="Y111" s="0" t="n">
        <v>7004</v>
      </c>
      <c r="Z111" s="0" t="s">
        <v>34</v>
      </c>
      <c r="AA111" s="0" t="s">
        <v>37</v>
      </c>
      <c r="AB111" s="0" t="n">
        <v>0</v>
      </c>
      <c r="AC111" s="0" t="n">
        <v>0</v>
      </c>
    </row>
    <row r="112" customFormat="false" ht="15" hidden="false" customHeight="false" outlineLevel="0" collapsed="false">
      <c r="A112" s="0" t="n">
        <v>561</v>
      </c>
      <c r="B112" s="0" t="s">
        <v>29</v>
      </c>
      <c r="C112" s="0" t="s">
        <v>39</v>
      </c>
      <c r="D112" s="0" t="s">
        <v>31</v>
      </c>
      <c r="E112" s="0" t="s">
        <v>32</v>
      </c>
      <c r="F112" s="0" t="s">
        <v>34</v>
      </c>
      <c r="G112" s="0" t="s">
        <v>53</v>
      </c>
      <c r="H112" s="0" t="n">
        <v>4</v>
      </c>
      <c r="I112" s="0" t="n">
        <v>3</v>
      </c>
      <c r="J112" s="0" t="n">
        <v>-1</v>
      </c>
      <c r="K112" s="0" t="n">
        <v>50.29</v>
      </c>
      <c r="L112" s="0" t="n">
        <v>37.91</v>
      </c>
      <c r="M112" s="0" t="n">
        <v>-12.38</v>
      </c>
      <c r="N112" s="0" t="n">
        <v>120463</v>
      </c>
      <c r="O112" s="0" t="n">
        <v>1</v>
      </c>
      <c r="P112" s="0" t="n">
        <v>0</v>
      </c>
      <c r="Q112" s="0" t="s">
        <v>33</v>
      </c>
      <c r="R112" s="0" t="n">
        <v>3336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5</v>
      </c>
      <c r="Y112" s="0" t="n">
        <v>12344</v>
      </c>
      <c r="Z112" s="0" t="s">
        <v>33</v>
      </c>
      <c r="AA112" s="0" t="s">
        <v>40</v>
      </c>
      <c r="AB112" s="0" t="n">
        <v>0</v>
      </c>
      <c r="AC112" s="0" t="n">
        <v>0</v>
      </c>
    </row>
    <row r="113" customFormat="false" ht="15" hidden="false" customHeight="false" outlineLevel="0" collapsed="false">
      <c r="A113" s="0" t="n">
        <v>562</v>
      </c>
      <c r="B113" s="0" t="s">
        <v>42</v>
      </c>
      <c r="C113" s="0" t="s">
        <v>39</v>
      </c>
      <c r="D113" s="0" t="s">
        <v>31</v>
      </c>
      <c r="E113" s="0" t="s">
        <v>32</v>
      </c>
      <c r="F113" s="0" t="s">
        <v>34</v>
      </c>
      <c r="G113" s="0" t="s">
        <v>53</v>
      </c>
      <c r="H113" s="0" t="n">
        <v>4</v>
      </c>
      <c r="I113" s="0" t="n">
        <v>3</v>
      </c>
      <c r="J113" s="0" t="n">
        <v>-1</v>
      </c>
      <c r="K113" s="0" t="n">
        <v>56.73</v>
      </c>
      <c r="L113" s="0" t="n">
        <v>43.59</v>
      </c>
      <c r="M113" s="0" t="n">
        <v>-13.14</v>
      </c>
      <c r="N113" s="0" t="n">
        <v>51568</v>
      </c>
      <c r="O113" s="0" t="n">
        <v>1</v>
      </c>
      <c r="P113" s="0" t="n">
        <v>0</v>
      </c>
      <c r="Q113" s="0" t="s">
        <v>33</v>
      </c>
      <c r="R113" s="0" t="n">
        <v>3336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2</v>
      </c>
      <c r="Y113" s="0" t="n">
        <v>6878</v>
      </c>
      <c r="Z113" s="0" t="s">
        <v>33</v>
      </c>
      <c r="AA113" s="0" t="s">
        <v>40</v>
      </c>
      <c r="AB113" s="0" t="n">
        <v>0</v>
      </c>
      <c r="AC113" s="0" t="n">
        <v>0</v>
      </c>
    </row>
    <row r="114" customFormat="false" ht="15" hidden="false" customHeight="false" outlineLevel="0" collapsed="false">
      <c r="A114" s="0" t="n">
        <v>570</v>
      </c>
      <c r="B114" s="0" t="s">
        <v>29</v>
      </c>
      <c r="C114" s="0" t="s">
        <v>41</v>
      </c>
      <c r="D114" s="0" t="s">
        <v>54</v>
      </c>
      <c r="E114" s="0" t="s">
        <v>50</v>
      </c>
      <c r="F114" s="0" t="s">
        <v>33</v>
      </c>
      <c r="H114" s="0" t="n">
        <v>5</v>
      </c>
      <c r="I114" s="0" t="n">
        <v>5</v>
      </c>
      <c r="J114" s="0" t="n">
        <v>0</v>
      </c>
      <c r="K114" s="0" t="n">
        <v>55.42</v>
      </c>
      <c r="L114" s="0" t="n">
        <v>55.42</v>
      </c>
      <c r="M114" s="0" t="n">
        <v>0</v>
      </c>
      <c r="N114" s="0" t="n">
        <v>98249</v>
      </c>
      <c r="O114" s="0" t="n">
        <v>4</v>
      </c>
      <c r="P114" s="0" t="n">
        <v>0</v>
      </c>
      <c r="Q114" s="0" t="s">
        <v>34</v>
      </c>
      <c r="R114" s="0" t="n">
        <v>2828</v>
      </c>
      <c r="S114" s="0" t="n">
        <v>0</v>
      </c>
      <c r="T114" s="0" t="n">
        <v>1</v>
      </c>
      <c r="U114" s="0" t="n">
        <v>0</v>
      </c>
      <c r="V114" s="0" t="n">
        <v>2</v>
      </c>
      <c r="W114" s="0" t="n">
        <v>0</v>
      </c>
      <c r="X114" s="0" t="n">
        <v>3</v>
      </c>
      <c r="Y114" s="0" t="n">
        <v>4890</v>
      </c>
      <c r="Z114" s="0" t="s">
        <v>33</v>
      </c>
      <c r="AA114" s="0" t="s">
        <v>40</v>
      </c>
      <c r="AB114" s="0" t="n">
        <v>0</v>
      </c>
      <c r="AC114" s="0" t="n">
        <v>0</v>
      </c>
    </row>
    <row r="115" customFormat="false" ht="15" hidden="false" customHeight="false" outlineLevel="0" collapsed="false">
      <c r="A115" s="0" t="n">
        <v>575</v>
      </c>
      <c r="B115" s="0" t="s">
        <v>29</v>
      </c>
      <c r="C115" s="0" t="s">
        <v>45</v>
      </c>
      <c r="D115" s="0" t="s">
        <v>31</v>
      </c>
      <c r="E115" s="0" t="s">
        <v>32</v>
      </c>
      <c r="F115" s="0" t="s">
        <v>33</v>
      </c>
      <c r="G115" s="0" t="s">
        <v>53</v>
      </c>
      <c r="H115" s="0" t="n">
        <v>3</v>
      </c>
      <c r="I115" s="0" t="n">
        <v>3</v>
      </c>
      <c r="J115" s="0" t="n">
        <v>0</v>
      </c>
      <c r="K115" s="0" t="n">
        <v>47.84</v>
      </c>
      <c r="L115" s="0" t="n">
        <v>47.84</v>
      </c>
      <c r="M115" s="0" t="n">
        <v>0</v>
      </c>
      <c r="N115" s="0" t="n">
        <v>191223</v>
      </c>
      <c r="O115" s="0" t="n">
        <v>2</v>
      </c>
      <c r="P115" s="0" t="n">
        <v>0</v>
      </c>
      <c r="Q115" s="0" t="s">
        <v>33</v>
      </c>
      <c r="R115" s="0" t="n">
        <v>3336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Z115" s="0" t="s">
        <v>34</v>
      </c>
      <c r="AA115" s="0" t="s">
        <v>37</v>
      </c>
      <c r="AB115" s="0" t="n">
        <v>0</v>
      </c>
      <c r="AC115" s="0" t="n">
        <v>0</v>
      </c>
    </row>
    <row r="116" customFormat="false" ht="15" hidden="false" customHeight="false" outlineLevel="0" collapsed="false">
      <c r="A116" s="0" t="n">
        <v>578</v>
      </c>
      <c r="B116" s="0" t="s">
        <v>42</v>
      </c>
      <c r="C116" s="0" t="s">
        <v>38</v>
      </c>
      <c r="D116" s="0" t="s">
        <v>31</v>
      </c>
      <c r="E116" s="0" t="s">
        <v>32</v>
      </c>
      <c r="F116" s="0" t="s">
        <v>34</v>
      </c>
      <c r="G116" s="0" t="s">
        <v>53</v>
      </c>
      <c r="H116" s="0" t="n">
        <v>1</v>
      </c>
      <c r="I116" s="0" t="n">
        <v>1</v>
      </c>
      <c r="J116" s="0" t="n">
        <v>0</v>
      </c>
      <c r="K116" s="0" t="n">
        <v>73.23</v>
      </c>
      <c r="L116" s="0" t="n">
        <v>73.23</v>
      </c>
      <c r="M116" s="0" t="n">
        <v>0</v>
      </c>
      <c r="N116" s="0" t="n">
        <v>46067</v>
      </c>
      <c r="O116" s="0" t="n">
        <v>1</v>
      </c>
      <c r="P116" s="0" t="n">
        <v>0</v>
      </c>
      <c r="Q116" s="0" t="s">
        <v>33</v>
      </c>
      <c r="R116" s="0" t="n">
        <v>3336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2</v>
      </c>
      <c r="Y116" s="0" t="n">
        <v>3010</v>
      </c>
      <c r="Z116" s="0" t="s">
        <v>33</v>
      </c>
      <c r="AA116" s="0" t="s">
        <v>40</v>
      </c>
      <c r="AB116" s="0" t="n">
        <v>0</v>
      </c>
      <c r="AC116" s="0" t="n">
        <v>0</v>
      </c>
    </row>
    <row r="117" customFormat="false" ht="15" hidden="false" customHeight="false" outlineLevel="0" collapsed="false">
      <c r="A117" s="0" t="n">
        <v>583</v>
      </c>
      <c r="B117" s="0" t="s">
        <v>29</v>
      </c>
      <c r="C117" s="0" t="s">
        <v>39</v>
      </c>
      <c r="D117" s="0" t="s">
        <v>31</v>
      </c>
      <c r="E117" s="0" t="s">
        <v>32</v>
      </c>
      <c r="F117" s="0" t="s">
        <v>34</v>
      </c>
      <c r="G117" s="0" t="s">
        <v>53</v>
      </c>
      <c r="H117" s="0" t="n">
        <v>3</v>
      </c>
      <c r="I117" s="0" t="n">
        <v>3</v>
      </c>
      <c r="J117" s="0" t="n">
        <v>0</v>
      </c>
      <c r="K117" s="0" t="n">
        <v>66.48</v>
      </c>
      <c r="L117" s="0" t="n">
        <v>60.34</v>
      </c>
      <c r="M117" s="0" t="n">
        <v>-6.14</v>
      </c>
      <c r="N117" s="0" t="n">
        <v>43888</v>
      </c>
      <c r="O117" s="0" t="n">
        <v>1</v>
      </c>
      <c r="P117" s="0" t="n">
        <v>0</v>
      </c>
      <c r="Q117" s="0" t="s">
        <v>33</v>
      </c>
      <c r="R117" s="0" t="n">
        <v>3336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2</v>
      </c>
      <c r="Y117" s="0" t="n">
        <v>4160</v>
      </c>
      <c r="Z117" s="0" t="s">
        <v>34</v>
      </c>
      <c r="AA117" s="0" t="s">
        <v>35</v>
      </c>
      <c r="AB117" s="0" t="n">
        <v>1</v>
      </c>
      <c r="AC117" s="0" t="n">
        <v>0</v>
      </c>
    </row>
    <row r="118" customFormat="false" ht="15" hidden="false" customHeight="false" outlineLevel="0" collapsed="false">
      <c r="A118" s="0" t="n">
        <v>584</v>
      </c>
      <c r="B118" s="0" t="s">
        <v>29</v>
      </c>
      <c r="C118" s="0" t="s">
        <v>52</v>
      </c>
      <c r="D118" s="0" t="s">
        <v>31</v>
      </c>
      <c r="E118" s="0" t="s">
        <v>32</v>
      </c>
      <c r="F118" s="0" t="s">
        <v>33</v>
      </c>
      <c r="G118" s="0" t="s">
        <v>53</v>
      </c>
      <c r="H118" s="0" t="n">
        <v>2</v>
      </c>
      <c r="I118" s="0" t="n">
        <v>2</v>
      </c>
      <c r="J118" s="0" t="n">
        <v>0</v>
      </c>
      <c r="K118" s="0" t="n">
        <v>59.48</v>
      </c>
      <c r="L118" s="0" t="n">
        <v>59.55</v>
      </c>
      <c r="M118" s="0" t="n">
        <v>0.07</v>
      </c>
      <c r="N118" s="0" t="n">
        <v>102895</v>
      </c>
      <c r="O118" s="0" t="n">
        <v>2</v>
      </c>
      <c r="P118" s="0" t="n">
        <v>0</v>
      </c>
      <c r="Q118" s="0" t="s">
        <v>33</v>
      </c>
      <c r="R118" s="0" t="n">
        <v>3336</v>
      </c>
      <c r="S118" s="0" t="n">
        <v>0</v>
      </c>
      <c r="T118" s="0" t="n">
        <v>1</v>
      </c>
      <c r="U118" s="0" t="n">
        <v>2</v>
      </c>
      <c r="V118" s="0" t="n">
        <v>0</v>
      </c>
      <c r="W118" s="0" t="n">
        <v>0</v>
      </c>
      <c r="X118" s="0" t="n">
        <v>5</v>
      </c>
      <c r="Y118" s="0" t="n">
        <v>4688</v>
      </c>
      <c r="Z118" s="0" t="s">
        <v>34</v>
      </c>
      <c r="AA118" s="0" t="s">
        <v>35</v>
      </c>
      <c r="AB118" s="0" t="n">
        <v>1</v>
      </c>
      <c r="AC118" s="0" t="n">
        <v>0</v>
      </c>
    </row>
    <row r="119" customFormat="false" ht="15" hidden="false" customHeight="false" outlineLevel="0" collapsed="false">
      <c r="A119" s="0" t="n">
        <v>594</v>
      </c>
      <c r="B119" s="0" t="s">
        <v>36</v>
      </c>
      <c r="C119" s="0" t="s">
        <v>38</v>
      </c>
      <c r="D119" s="0" t="s">
        <v>31</v>
      </c>
      <c r="E119" s="0" t="s">
        <v>32</v>
      </c>
      <c r="F119" s="0" t="s">
        <v>34</v>
      </c>
      <c r="G119" s="0" t="s">
        <v>53</v>
      </c>
      <c r="H119" s="0" t="n">
        <v>3</v>
      </c>
      <c r="I119" s="0" t="n">
        <v>3</v>
      </c>
      <c r="J119" s="0" t="n">
        <v>0</v>
      </c>
      <c r="K119" s="0" t="n">
        <v>60.08</v>
      </c>
      <c r="L119" s="0" t="n">
        <v>60.08</v>
      </c>
      <c r="M119" s="0" t="n">
        <v>0</v>
      </c>
      <c r="N119" s="0" t="n">
        <v>48029</v>
      </c>
      <c r="O119" s="0" t="n">
        <v>1</v>
      </c>
      <c r="P119" s="0" t="n">
        <v>0</v>
      </c>
      <c r="Q119" s="0" t="s">
        <v>33</v>
      </c>
      <c r="R119" s="0" t="n">
        <v>3336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2</v>
      </c>
      <c r="Y119" s="0" t="n">
        <v>4888</v>
      </c>
      <c r="Z119" s="0" t="s">
        <v>34</v>
      </c>
      <c r="AA119" s="0" t="s">
        <v>37</v>
      </c>
      <c r="AB119" s="0" t="n">
        <v>0</v>
      </c>
      <c r="AC119" s="0" t="n">
        <v>0</v>
      </c>
    </row>
    <row r="120" customFormat="false" ht="15" hidden="false" customHeight="false" outlineLevel="0" collapsed="false">
      <c r="A120" s="0" t="n">
        <v>602</v>
      </c>
      <c r="B120" s="0" t="s">
        <v>29</v>
      </c>
      <c r="C120" s="0" t="s">
        <v>45</v>
      </c>
      <c r="D120" s="0" t="s">
        <v>54</v>
      </c>
      <c r="E120" s="0" t="s">
        <v>50</v>
      </c>
      <c r="F120" s="0" t="s">
        <v>33</v>
      </c>
      <c r="H120" s="0" t="n">
        <v>3</v>
      </c>
      <c r="I120" s="0" t="n">
        <v>3</v>
      </c>
      <c r="J120" s="0" t="n">
        <v>0</v>
      </c>
      <c r="K120" s="0" t="n">
        <v>36.32</v>
      </c>
      <c r="L120" s="0" t="n">
        <v>36.32</v>
      </c>
      <c r="M120" s="0" t="n">
        <v>0</v>
      </c>
      <c r="N120" s="0" t="n">
        <v>144857</v>
      </c>
      <c r="O120" s="0" t="n">
        <v>4</v>
      </c>
      <c r="P120" s="0" t="n">
        <v>0</v>
      </c>
      <c r="Q120" s="0" t="s">
        <v>34</v>
      </c>
      <c r="R120" s="0" t="n">
        <v>2828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Z120" s="0" t="s">
        <v>34</v>
      </c>
      <c r="AA120" s="0" t="s">
        <v>37</v>
      </c>
      <c r="AB120" s="0" t="n">
        <v>0</v>
      </c>
      <c r="AC120" s="0" t="n">
        <v>0</v>
      </c>
    </row>
    <row r="121" customFormat="false" ht="15" hidden="false" customHeight="false" outlineLevel="0" collapsed="false">
      <c r="A121" s="0" t="n">
        <v>603</v>
      </c>
      <c r="B121" s="0" t="s">
        <v>42</v>
      </c>
      <c r="C121" s="0" t="s">
        <v>45</v>
      </c>
      <c r="D121" s="0" t="s">
        <v>31</v>
      </c>
      <c r="E121" s="0" t="s">
        <v>32</v>
      </c>
      <c r="F121" s="0" t="s">
        <v>34</v>
      </c>
      <c r="G121" s="0" t="s">
        <v>53</v>
      </c>
      <c r="H121" s="0" t="n">
        <v>4</v>
      </c>
      <c r="I121" s="0" t="n">
        <v>4</v>
      </c>
      <c r="J121" s="0" t="n">
        <v>0</v>
      </c>
      <c r="K121" s="0" t="n">
        <v>68</v>
      </c>
      <c r="L121" s="0" t="n">
        <v>68</v>
      </c>
      <c r="M121" s="0" t="n">
        <v>0</v>
      </c>
      <c r="N121" s="0" t="n">
        <v>50261</v>
      </c>
      <c r="O121" s="0" t="n">
        <v>1</v>
      </c>
      <c r="P121" s="0" t="n">
        <v>0</v>
      </c>
      <c r="Q121" s="0" t="s">
        <v>33</v>
      </c>
      <c r="R121" s="0" t="n">
        <v>3336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Z121" s="0" t="s">
        <v>33</v>
      </c>
      <c r="AA121" s="0" t="s">
        <v>40</v>
      </c>
      <c r="AB121" s="0" t="n">
        <v>0</v>
      </c>
      <c r="AC121" s="0" t="n">
        <v>0</v>
      </c>
    </row>
    <row r="122" customFormat="false" ht="15" hidden="false" customHeight="false" outlineLevel="0" collapsed="false">
      <c r="A122" s="0" t="n">
        <v>609</v>
      </c>
      <c r="B122" s="0" t="s">
        <v>29</v>
      </c>
      <c r="C122" s="0" t="s">
        <v>43</v>
      </c>
      <c r="D122" s="0" t="s">
        <v>31</v>
      </c>
      <c r="E122" s="0" t="s">
        <v>32</v>
      </c>
      <c r="F122" s="0" t="s">
        <v>33</v>
      </c>
      <c r="G122" s="0" t="s">
        <v>53</v>
      </c>
      <c r="H122" s="0" t="n">
        <v>7</v>
      </c>
      <c r="I122" s="0" t="n">
        <v>7</v>
      </c>
      <c r="J122" s="0" t="n">
        <v>0</v>
      </c>
      <c r="K122" s="0" t="n">
        <v>49.83</v>
      </c>
      <c r="L122" s="0" t="n">
        <v>48.61</v>
      </c>
      <c r="M122" s="0" t="n">
        <v>-1.22</v>
      </c>
      <c r="N122" s="0" t="n">
        <v>115464</v>
      </c>
      <c r="O122" s="0" t="n">
        <v>2</v>
      </c>
      <c r="P122" s="0" t="n">
        <v>0</v>
      </c>
      <c r="Q122" s="0" t="s">
        <v>33</v>
      </c>
      <c r="R122" s="0" t="n">
        <v>3336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Z122" s="0" t="s">
        <v>34</v>
      </c>
      <c r="AA122" s="0" t="s">
        <v>37</v>
      </c>
      <c r="AB122" s="0" t="n">
        <v>0</v>
      </c>
      <c r="AC122" s="0" t="n">
        <v>0</v>
      </c>
    </row>
    <row r="123" customFormat="false" ht="15" hidden="false" customHeight="false" outlineLevel="0" collapsed="false">
      <c r="A123" s="0" t="n">
        <v>610</v>
      </c>
      <c r="B123" s="0" t="s">
        <v>36</v>
      </c>
      <c r="C123" s="0" t="s">
        <v>39</v>
      </c>
      <c r="D123" s="0" t="s">
        <v>31</v>
      </c>
      <c r="E123" s="0" t="s">
        <v>32</v>
      </c>
      <c r="F123" s="0" t="s">
        <v>34</v>
      </c>
      <c r="G123" s="0" t="s">
        <v>53</v>
      </c>
      <c r="H123" s="0" t="n">
        <v>2</v>
      </c>
      <c r="I123" s="0" t="n">
        <v>2</v>
      </c>
      <c r="J123" s="0" t="n">
        <v>0</v>
      </c>
      <c r="K123" s="0" t="n">
        <v>73.32</v>
      </c>
      <c r="L123" s="0" t="n">
        <v>66.56</v>
      </c>
      <c r="M123" s="0" t="n">
        <v>-6.76</v>
      </c>
      <c r="N123" s="0" t="n">
        <v>58673</v>
      </c>
      <c r="O123" s="0" t="n">
        <v>1</v>
      </c>
      <c r="P123" s="0" t="n">
        <v>0</v>
      </c>
      <c r="Q123" s="0" t="s">
        <v>33</v>
      </c>
      <c r="R123" s="0" t="n">
        <v>3336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5</v>
      </c>
      <c r="Y123" s="0" t="n">
        <v>2742</v>
      </c>
      <c r="Z123" s="0" t="s">
        <v>34</v>
      </c>
      <c r="AA123" s="0" t="s">
        <v>35</v>
      </c>
      <c r="AB123" s="0" t="n">
        <v>1</v>
      </c>
      <c r="AC123" s="0" t="n">
        <v>0</v>
      </c>
    </row>
    <row r="124" customFormat="false" ht="15" hidden="false" customHeight="false" outlineLevel="0" collapsed="false">
      <c r="A124" s="0" t="n">
        <v>613</v>
      </c>
      <c r="B124" s="0" t="s">
        <v>29</v>
      </c>
      <c r="C124" s="0" t="s">
        <v>45</v>
      </c>
      <c r="D124" s="0" t="s">
        <v>31</v>
      </c>
      <c r="E124" s="0" t="s">
        <v>32</v>
      </c>
      <c r="F124" s="0" t="s">
        <v>33</v>
      </c>
      <c r="G124" s="0" t="s">
        <v>53</v>
      </c>
      <c r="H124" s="0" t="n">
        <v>2</v>
      </c>
      <c r="I124" s="0" t="n">
        <v>2</v>
      </c>
      <c r="J124" s="0" t="n">
        <v>0</v>
      </c>
      <c r="K124" s="0" t="n">
        <v>44.98</v>
      </c>
      <c r="L124" s="0" t="n">
        <v>47.2</v>
      </c>
      <c r="M124" s="0" t="n">
        <v>2.22</v>
      </c>
      <c r="N124" s="0" t="n">
        <v>91849</v>
      </c>
      <c r="O124" s="0" t="n">
        <v>2</v>
      </c>
      <c r="P124" s="0" t="n">
        <v>0</v>
      </c>
      <c r="Q124" s="0" t="s">
        <v>33</v>
      </c>
      <c r="R124" s="0" t="n">
        <v>3336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1</v>
      </c>
      <c r="X124" s="0" t="n">
        <v>0</v>
      </c>
      <c r="Z124" s="0" t="s">
        <v>34</v>
      </c>
      <c r="AA124" s="0" t="s">
        <v>37</v>
      </c>
      <c r="AB124" s="0" t="n">
        <v>0</v>
      </c>
      <c r="AC124" s="0" t="n">
        <v>0</v>
      </c>
    </row>
    <row r="125" customFormat="false" ht="15" hidden="false" customHeight="false" outlineLevel="0" collapsed="false">
      <c r="A125" s="0" t="n">
        <v>618</v>
      </c>
      <c r="B125" s="0" t="s">
        <v>36</v>
      </c>
      <c r="C125" s="0" t="s">
        <v>46</v>
      </c>
      <c r="D125" s="0" t="s">
        <v>31</v>
      </c>
      <c r="E125" s="0" t="s">
        <v>32</v>
      </c>
      <c r="F125" s="0" t="s">
        <v>33</v>
      </c>
      <c r="G125" s="0" t="s">
        <v>53</v>
      </c>
      <c r="H125" s="0" t="n">
        <v>4</v>
      </c>
      <c r="I125" s="0" t="n">
        <v>4</v>
      </c>
      <c r="J125" s="0" t="n">
        <v>0</v>
      </c>
      <c r="K125" s="0" t="n">
        <v>52.74</v>
      </c>
      <c r="L125" s="0" t="n">
        <v>44.07</v>
      </c>
      <c r="M125" s="0" t="n">
        <v>-8.67</v>
      </c>
      <c r="N125" s="0" t="n">
        <v>66790</v>
      </c>
      <c r="O125" s="0" t="n">
        <v>1</v>
      </c>
      <c r="P125" s="0" t="n">
        <v>0</v>
      </c>
      <c r="Q125" s="0" t="s">
        <v>33</v>
      </c>
      <c r="R125" s="0" t="n">
        <v>3336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0</v>
      </c>
      <c r="X125" s="0" t="n">
        <v>2</v>
      </c>
      <c r="Y125" s="0" t="n">
        <v>6364</v>
      </c>
      <c r="Z125" s="0" t="s">
        <v>34</v>
      </c>
      <c r="AA125" s="0" t="s">
        <v>37</v>
      </c>
      <c r="AB125" s="0" t="n">
        <v>0</v>
      </c>
      <c r="AC125" s="0" t="n">
        <v>0</v>
      </c>
    </row>
    <row r="126" customFormat="false" ht="15" hidden="false" customHeight="false" outlineLevel="0" collapsed="false">
      <c r="A126" s="0" t="n">
        <v>620</v>
      </c>
      <c r="B126" s="0" t="s">
        <v>29</v>
      </c>
      <c r="C126" s="0" t="s">
        <v>41</v>
      </c>
      <c r="D126" s="0" t="s">
        <v>54</v>
      </c>
      <c r="E126" s="0" t="s">
        <v>50</v>
      </c>
      <c r="F126" s="0" t="s">
        <v>33</v>
      </c>
      <c r="H126" s="0" t="n">
        <v>5</v>
      </c>
      <c r="I126" s="0" t="n">
        <v>5</v>
      </c>
      <c r="J126" s="0" t="n">
        <v>0</v>
      </c>
      <c r="K126" s="0" t="n">
        <v>46.56</v>
      </c>
      <c r="L126" s="0" t="n">
        <v>46.56</v>
      </c>
      <c r="M126" s="0" t="n">
        <v>0</v>
      </c>
      <c r="N126" s="0" t="n">
        <v>293139</v>
      </c>
      <c r="O126" s="0" t="n">
        <v>4</v>
      </c>
      <c r="P126" s="0" t="n">
        <v>0</v>
      </c>
      <c r="Q126" s="0" t="s">
        <v>34</v>
      </c>
      <c r="R126" s="0" t="n">
        <v>2828</v>
      </c>
      <c r="S126" s="0" t="n">
        <v>0</v>
      </c>
      <c r="T126" s="0" t="n">
        <v>0</v>
      </c>
      <c r="U126" s="0" t="n">
        <v>0</v>
      </c>
      <c r="V126" s="0" t="n">
        <v>3</v>
      </c>
      <c r="W126" s="0" t="n">
        <v>0</v>
      </c>
      <c r="X126" s="0" t="n">
        <v>5</v>
      </c>
      <c r="Y126" s="0" t="n">
        <v>8472</v>
      </c>
      <c r="Z126" s="0" t="s">
        <v>34</v>
      </c>
      <c r="AA126" s="0" t="s">
        <v>35</v>
      </c>
      <c r="AB126" s="0" t="n">
        <v>1</v>
      </c>
      <c r="AC126" s="0" t="n">
        <v>0</v>
      </c>
    </row>
    <row r="127" customFormat="false" ht="15" hidden="false" customHeight="false" outlineLevel="0" collapsed="false">
      <c r="A127" s="0" t="n">
        <v>638</v>
      </c>
      <c r="B127" s="0" t="s">
        <v>29</v>
      </c>
      <c r="C127" s="0" t="s">
        <v>30</v>
      </c>
      <c r="D127" s="0" t="s">
        <v>31</v>
      </c>
      <c r="E127" s="0" t="s">
        <v>32</v>
      </c>
      <c r="F127" s="0" t="s">
        <v>33</v>
      </c>
      <c r="G127" s="0" t="s">
        <v>53</v>
      </c>
      <c r="H127" s="0" t="n">
        <v>8</v>
      </c>
      <c r="I127" s="0" t="n">
        <v>8</v>
      </c>
      <c r="J127" s="0" t="n">
        <v>0</v>
      </c>
      <c r="K127" s="0" t="n">
        <v>39.4</v>
      </c>
      <c r="L127" s="0" t="n">
        <v>31.43</v>
      </c>
      <c r="M127" s="0" t="n">
        <v>-7.97</v>
      </c>
      <c r="N127" s="0" t="n">
        <v>223489</v>
      </c>
      <c r="O127" s="0" t="n">
        <v>2</v>
      </c>
      <c r="P127" s="0" t="n">
        <v>0</v>
      </c>
      <c r="Q127" s="0" t="s">
        <v>33</v>
      </c>
      <c r="R127" s="0" t="n">
        <v>3336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4</v>
      </c>
      <c r="Y127" s="0" t="n">
        <v>13632</v>
      </c>
      <c r="Z127" s="0" t="s">
        <v>33</v>
      </c>
      <c r="AA127" s="0" t="s">
        <v>40</v>
      </c>
      <c r="AB127" s="0" t="n">
        <v>0</v>
      </c>
      <c r="AC127" s="0" t="n">
        <v>0</v>
      </c>
    </row>
    <row r="128" customFormat="false" ht="15" hidden="false" customHeight="false" outlineLevel="0" collapsed="false">
      <c r="A128" s="0" t="n">
        <v>650</v>
      </c>
      <c r="B128" s="0" t="s">
        <v>42</v>
      </c>
      <c r="C128" s="0" t="s">
        <v>30</v>
      </c>
      <c r="D128" s="0" t="s">
        <v>31</v>
      </c>
      <c r="E128" s="0" t="s">
        <v>32</v>
      </c>
      <c r="F128" s="0" t="s">
        <v>33</v>
      </c>
      <c r="G128" s="0" t="s">
        <v>53</v>
      </c>
      <c r="H128" s="0" t="n">
        <v>4</v>
      </c>
      <c r="I128" s="0" t="n">
        <v>8</v>
      </c>
      <c r="J128" s="0" t="n">
        <v>4</v>
      </c>
      <c r="K128" s="0" t="n">
        <v>70.01</v>
      </c>
      <c r="L128" s="0" t="n">
        <v>51.21</v>
      </c>
      <c r="M128" s="0" t="n">
        <v>-18.8</v>
      </c>
      <c r="N128" s="0" t="n">
        <v>89852</v>
      </c>
      <c r="O128" s="0" t="n">
        <v>1</v>
      </c>
      <c r="P128" s="0" t="n">
        <v>0</v>
      </c>
      <c r="Q128" s="0" t="s">
        <v>33</v>
      </c>
      <c r="R128" s="0" t="n">
        <v>3336</v>
      </c>
      <c r="S128" s="0" t="n">
        <v>0</v>
      </c>
      <c r="T128" s="0" t="n">
        <v>0</v>
      </c>
      <c r="U128" s="0" t="n">
        <v>0</v>
      </c>
      <c r="V128" s="0" t="n">
        <v>1</v>
      </c>
      <c r="W128" s="0" t="n">
        <v>0</v>
      </c>
      <c r="X128" s="0" t="n">
        <v>4</v>
      </c>
      <c r="Y128" s="0" t="n">
        <v>3642</v>
      </c>
      <c r="Z128" s="0" t="s">
        <v>33</v>
      </c>
      <c r="AA128" s="0" t="s">
        <v>40</v>
      </c>
      <c r="AB128" s="0" t="n">
        <v>0</v>
      </c>
      <c r="AC128" s="0" t="n">
        <v>0</v>
      </c>
    </row>
    <row r="129" customFormat="false" ht="15" hidden="false" customHeight="false" outlineLevel="0" collapsed="false">
      <c r="A129" s="0" t="n">
        <v>654</v>
      </c>
      <c r="B129" s="0" t="s">
        <v>42</v>
      </c>
      <c r="C129" s="0" t="s">
        <v>47</v>
      </c>
      <c r="D129" s="0" t="s">
        <v>31</v>
      </c>
      <c r="E129" s="0" t="s">
        <v>32</v>
      </c>
      <c r="F129" s="0" t="s">
        <v>34</v>
      </c>
      <c r="G129" s="0" t="s">
        <v>53</v>
      </c>
      <c r="H129" s="0" t="n">
        <v>4</v>
      </c>
      <c r="I129" s="0" t="n">
        <v>2</v>
      </c>
      <c r="J129" s="0" t="n">
        <v>-2</v>
      </c>
      <c r="K129" s="0" t="n">
        <v>63.68</v>
      </c>
      <c r="L129" s="0" t="n">
        <v>83.87</v>
      </c>
      <c r="M129" s="0" t="n">
        <v>20.19</v>
      </c>
      <c r="N129" s="0" t="n">
        <v>44298</v>
      </c>
      <c r="O129" s="0" t="n">
        <v>1</v>
      </c>
      <c r="P129" s="0" t="n">
        <v>0</v>
      </c>
      <c r="Q129" s="0" t="s">
        <v>33</v>
      </c>
      <c r="R129" s="0" t="n">
        <v>3336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Z129" s="0" t="s">
        <v>33</v>
      </c>
      <c r="AA129" s="0" t="s">
        <v>40</v>
      </c>
      <c r="AB129" s="0" t="n">
        <v>0</v>
      </c>
      <c r="AC129" s="0" t="n">
        <v>0</v>
      </c>
    </row>
    <row r="130" customFormat="false" ht="15" hidden="false" customHeight="false" outlineLevel="0" collapsed="false">
      <c r="A130" s="0" t="n">
        <v>661</v>
      </c>
      <c r="B130" s="0" t="s">
        <v>36</v>
      </c>
      <c r="C130" s="0" t="s">
        <v>30</v>
      </c>
      <c r="D130" s="0" t="s">
        <v>31</v>
      </c>
      <c r="E130" s="0" t="s">
        <v>32</v>
      </c>
      <c r="F130" s="0" t="s">
        <v>34</v>
      </c>
      <c r="G130" s="0" t="s">
        <v>53</v>
      </c>
      <c r="H130" s="0" t="n">
        <v>6</v>
      </c>
      <c r="I130" s="0" t="n">
        <v>6</v>
      </c>
      <c r="J130" s="0" t="n">
        <v>0</v>
      </c>
      <c r="K130" s="0" t="n">
        <v>18.31</v>
      </c>
      <c r="L130" s="0" t="n">
        <v>16.37</v>
      </c>
      <c r="M130" s="0" t="n">
        <v>-1.94</v>
      </c>
      <c r="N130" s="0" t="n">
        <v>81758</v>
      </c>
      <c r="O130" s="0" t="n">
        <v>1</v>
      </c>
      <c r="P130" s="0" t="n">
        <v>0</v>
      </c>
      <c r="Q130" s="0" t="s">
        <v>33</v>
      </c>
      <c r="R130" s="0" t="n">
        <v>3336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2</v>
      </c>
      <c r="Y130" s="0" t="n">
        <v>18692</v>
      </c>
      <c r="Z130" s="0" t="s">
        <v>34</v>
      </c>
      <c r="AA130" s="0" t="s">
        <v>37</v>
      </c>
      <c r="AB130" s="0" t="n">
        <v>0</v>
      </c>
      <c r="AC130" s="0" t="n">
        <v>0</v>
      </c>
    </row>
    <row r="131" customFormat="false" ht="15" hidden="false" customHeight="false" outlineLevel="0" collapsed="false">
      <c r="A131" s="0" t="n">
        <v>669</v>
      </c>
      <c r="B131" s="0" t="s">
        <v>29</v>
      </c>
      <c r="C131" s="0" t="s">
        <v>30</v>
      </c>
      <c r="D131" s="0" t="s">
        <v>31</v>
      </c>
      <c r="E131" s="0" t="s">
        <v>32</v>
      </c>
      <c r="F131" s="0" t="s">
        <v>33</v>
      </c>
      <c r="G131" s="0" t="s">
        <v>53</v>
      </c>
      <c r="H131" s="0" t="n">
        <v>5</v>
      </c>
      <c r="I131" s="0" t="n">
        <v>5</v>
      </c>
      <c r="J131" s="0" t="n">
        <v>0</v>
      </c>
      <c r="K131" s="0" t="n">
        <v>53.55</v>
      </c>
      <c r="L131" s="0" t="n">
        <v>47.33</v>
      </c>
      <c r="M131" s="0" t="n">
        <v>-6.22</v>
      </c>
      <c r="N131" s="0" t="n">
        <v>112701</v>
      </c>
      <c r="O131" s="0" t="n">
        <v>2</v>
      </c>
      <c r="P131" s="0" t="n">
        <v>0</v>
      </c>
      <c r="Q131" s="0" t="s">
        <v>33</v>
      </c>
      <c r="R131" s="0" t="n">
        <v>3336</v>
      </c>
      <c r="S131" s="0" t="n">
        <v>0</v>
      </c>
      <c r="T131" s="0" t="n">
        <v>2</v>
      </c>
      <c r="U131" s="0" t="n">
        <v>0</v>
      </c>
      <c r="V131" s="0" t="n">
        <v>0</v>
      </c>
      <c r="W131" s="0" t="n">
        <v>0</v>
      </c>
      <c r="X131" s="0" t="n">
        <v>2</v>
      </c>
      <c r="Y131" s="0" t="n">
        <v>5544</v>
      </c>
      <c r="Z131" s="0" t="s">
        <v>34</v>
      </c>
      <c r="AA131" s="0" t="s">
        <v>37</v>
      </c>
      <c r="AB131" s="0" t="n">
        <v>0</v>
      </c>
      <c r="AC131" s="0" t="n">
        <v>0</v>
      </c>
    </row>
    <row r="132" customFormat="false" ht="15" hidden="false" customHeight="false" outlineLevel="0" collapsed="false">
      <c r="A132" s="0" t="n">
        <v>690</v>
      </c>
      <c r="B132" s="0" t="s">
        <v>36</v>
      </c>
      <c r="C132" s="0" t="s">
        <v>30</v>
      </c>
      <c r="D132" s="0" t="s">
        <v>54</v>
      </c>
      <c r="E132" s="0" t="s">
        <v>50</v>
      </c>
      <c r="F132" s="0" t="s">
        <v>33</v>
      </c>
      <c r="H132" s="0" t="n">
        <v>11</v>
      </c>
      <c r="I132" s="0" t="n">
        <v>11</v>
      </c>
      <c r="J132" s="0" t="n">
        <v>0</v>
      </c>
      <c r="K132" s="0" t="n">
        <v>23.5</v>
      </c>
      <c r="L132" s="0" t="n">
        <v>23.5</v>
      </c>
      <c r="M132" s="0" t="n">
        <v>0</v>
      </c>
      <c r="N132" s="0" t="n">
        <v>299654</v>
      </c>
      <c r="O132" s="0" t="n">
        <v>4</v>
      </c>
      <c r="P132" s="0" t="n">
        <v>0</v>
      </c>
      <c r="Q132" s="0" t="s">
        <v>34</v>
      </c>
      <c r="R132" s="0" t="n">
        <v>2828</v>
      </c>
      <c r="S132" s="0" t="n">
        <v>0</v>
      </c>
      <c r="T132" s="0" t="n">
        <v>0</v>
      </c>
      <c r="U132" s="0" t="n">
        <v>3</v>
      </c>
      <c r="V132" s="0" t="n">
        <v>0</v>
      </c>
      <c r="W132" s="0" t="n">
        <v>0</v>
      </c>
      <c r="X132" s="0" t="n">
        <v>4</v>
      </c>
      <c r="Y132" s="0" t="n">
        <v>14362</v>
      </c>
      <c r="Z132" s="0" t="s">
        <v>33</v>
      </c>
      <c r="AA132" s="0" t="s">
        <v>40</v>
      </c>
      <c r="AB132" s="0" t="n">
        <v>0</v>
      </c>
      <c r="AC132" s="0" t="n">
        <v>0</v>
      </c>
    </row>
    <row r="133" customFormat="false" ht="15" hidden="false" customHeight="false" outlineLevel="0" collapsed="false">
      <c r="A133" s="0" t="n">
        <v>699</v>
      </c>
      <c r="B133" s="0" t="s">
        <v>29</v>
      </c>
      <c r="C133" s="0" t="s">
        <v>41</v>
      </c>
      <c r="D133" s="0" t="s">
        <v>31</v>
      </c>
      <c r="E133" s="0" t="s">
        <v>32</v>
      </c>
      <c r="F133" s="0" t="s">
        <v>34</v>
      </c>
      <c r="G133" s="0" t="s">
        <v>53</v>
      </c>
      <c r="H133" s="0" t="n">
        <v>9</v>
      </c>
      <c r="I133" s="0" t="n">
        <v>5</v>
      </c>
      <c r="J133" s="0" t="n">
        <v>-4</v>
      </c>
      <c r="K133" s="0" t="n">
        <v>44.86</v>
      </c>
      <c r="L133" s="0" t="n">
        <v>57.01</v>
      </c>
      <c r="M133" s="0" t="n">
        <v>12.15</v>
      </c>
      <c r="N133" s="0" t="n">
        <v>52534</v>
      </c>
      <c r="O133" s="0" t="n">
        <v>1</v>
      </c>
      <c r="P133" s="0" t="n">
        <v>0</v>
      </c>
      <c r="Q133" s="0" t="s">
        <v>33</v>
      </c>
      <c r="R133" s="0" t="n">
        <v>3336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Z133" s="0" t="s">
        <v>34</v>
      </c>
      <c r="AA133" s="0" t="s">
        <v>37</v>
      </c>
      <c r="AB133" s="0" t="n">
        <v>0</v>
      </c>
      <c r="AC133" s="0" t="n">
        <v>0</v>
      </c>
    </row>
    <row r="134" customFormat="false" ht="15" hidden="false" customHeight="false" outlineLevel="0" collapsed="false">
      <c r="A134" s="0" t="n">
        <v>707</v>
      </c>
      <c r="B134" s="0" t="s">
        <v>29</v>
      </c>
      <c r="C134" s="0" t="s">
        <v>30</v>
      </c>
      <c r="D134" s="0" t="s">
        <v>31</v>
      </c>
      <c r="E134" s="0" t="s">
        <v>32</v>
      </c>
      <c r="F134" s="0" t="s">
        <v>34</v>
      </c>
      <c r="G134" s="0" t="s">
        <v>53</v>
      </c>
      <c r="H134" s="0" t="n">
        <v>11</v>
      </c>
      <c r="I134" s="0" t="n">
        <v>10</v>
      </c>
      <c r="J134" s="0" t="n">
        <v>-1</v>
      </c>
      <c r="K134" s="0" t="n">
        <v>41.18</v>
      </c>
      <c r="L134" s="0" t="n">
        <v>34.85</v>
      </c>
      <c r="M134" s="0" t="n">
        <v>-6.33</v>
      </c>
      <c r="N134" s="0" t="n">
        <v>116725</v>
      </c>
      <c r="O134" s="0" t="n">
        <v>1</v>
      </c>
      <c r="P134" s="0" t="n">
        <v>0</v>
      </c>
      <c r="Q134" s="0" t="s">
        <v>33</v>
      </c>
      <c r="R134" s="0" t="n">
        <v>3336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4</v>
      </c>
      <c r="Y134" s="0" t="n">
        <v>8070</v>
      </c>
      <c r="Z134" s="0" t="s">
        <v>33</v>
      </c>
      <c r="AA134" s="0" t="s">
        <v>40</v>
      </c>
      <c r="AB134" s="0" t="n">
        <v>0</v>
      </c>
      <c r="AC134" s="0" t="n">
        <v>0</v>
      </c>
    </row>
    <row r="135" customFormat="false" ht="15" hidden="false" customHeight="false" outlineLevel="0" collapsed="false">
      <c r="A135" s="0" t="n">
        <v>776</v>
      </c>
      <c r="B135" s="0" t="s">
        <v>36</v>
      </c>
      <c r="C135" s="0" t="s">
        <v>38</v>
      </c>
      <c r="D135" s="0" t="s">
        <v>31</v>
      </c>
      <c r="E135" s="0" t="s">
        <v>32</v>
      </c>
      <c r="F135" s="0" t="s">
        <v>34</v>
      </c>
      <c r="G135" s="0" t="s">
        <v>53</v>
      </c>
      <c r="H135" s="0" t="n">
        <v>6</v>
      </c>
      <c r="I135" s="0" t="n">
        <v>6</v>
      </c>
      <c r="J135" s="0" t="n">
        <v>0</v>
      </c>
      <c r="K135" s="0" t="n">
        <v>34.98</v>
      </c>
      <c r="L135" s="0" t="n">
        <v>34.98</v>
      </c>
      <c r="M135" s="0" t="n">
        <v>0</v>
      </c>
      <c r="N135" s="0" t="n">
        <v>73716</v>
      </c>
      <c r="O135" s="0" t="n">
        <v>1</v>
      </c>
      <c r="P135" s="0" t="n">
        <v>0</v>
      </c>
      <c r="Q135" s="0" t="s">
        <v>33</v>
      </c>
      <c r="R135" s="0" t="n">
        <v>3336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3</v>
      </c>
      <c r="Y135" s="0" t="n">
        <v>9317</v>
      </c>
      <c r="Z135" s="0" t="s">
        <v>34</v>
      </c>
      <c r="AA135" s="0" t="s">
        <v>37</v>
      </c>
      <c r="AB135" s="0" t="n">
        <v>0</v>
      </c>
      <c r="AC135" s="0" t="n">
        <v>0</v>
      </c>
    </row>
    <row r="136" customFormat="false" ht="15" hidden="false" customHeight="false" outlineLevel="0" collapsed="false">
      <c r="A136" s="0" t="n">
        <v>797</v>
      </c>
      <c r="B136" s="0" t="s">
        <v>29</v>
      </c>
      <c r="C136" s="0" t="s">
        <v>39</v>
      </c>
      <c r="D136" s="0" t="s">
        <v>31</v>
      </c>
      <c r="E136" s="0" t="s">
        <v>32</v>
      </c>
      <c r="F136" s="0" t="s">
        <v>34</v>
      </c>
      <c r="G136" s="0" t="s">
        <v>53</v>
      </c>
      <c r="H136" s="0" t="n">
        <v>3</v>
      </c>
      <c r="I136" s="0" t="n">
        <v>2</v>
      </c>
      <c r="J136" s="0" t="n">
        <v>-1</v>
      </c>
      <c r="K136" s="0" t="n">
        <v>53.28</v>
      </c>
      <c r="L136" s="0" t="n">
        <v>49.31</v>
      </c>
      <c r="M136" s="0" t="n">
        <v>-3.97</v>
      </c>
      <c r="N136" s="0" t="n">
        <v>51830</v>
      </c>
      <c r="O136" s="0" t="n">
        <v>1</v>
      </c>
      <c r="P136" s="0" t="n">
        <v>0</v>
      </c>
      <c r="Q136" s="0" t="s">
        <v>33</v>
      </c>
      <c r="R136" s="0" t="n">
        <v>3336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2</v>
      </c>
      <c r="Y136" s="0" t="n">
        <v>6456</v>
      </c>
      <c r="Z136" s="0" t="s">
        <v>34</v>
      </c>
      <c r="AA136" s="0" t="s">
        <v>37</v>
      </c>
      <c r="AB136" s="0" t="n">
        <v>0</v>
      </c>
      <c r="AC136" s="0" t="n">
        <v>0</v>
      </c>
    </row>
    <row r="137" customFormat="false" ht="15" hidden="false" customHeight="false" outlineLevel="0" collapsed="false">
      <c r="A137" s="0" t="n">
        <v>798</v>
      </c>
      <c r="B137" s="0" t="s">
        <v>29</v>
      </c>
      <c r="C137" s="0" t="s">
        <v>43</v>
      </c>
      <c r="D137" s="0" t="s">
        <v>31</v>
      </c>
      <c r="E137" s="0" t="s">
        <v>32</v>
      </c>
      <c r="F137" s="0" t="s">
        <v>33</v>
      </c>
      <c r="G137" s="0" t="s">
        <v>53</v>
      </c>
      <c r="H137" s="0" t="n">
        <v>4</v>
      </c>
      <c r="I137" s="0" t="n">
        <v>6</v>
      </c>
      <c r="J137" s="0" t="n">
        <v>2</v>
      </c>
      <c r="K137" s="0" t="n">
        <v>53.39</v>
      </c>
      <c r="L137" s="0" t="n">
        <v>53.32</v>
      </c>
      <c r="M137" s="0" t="n">
        <v>-0.07</v>
      </c>
      <c r="N137" s="0" t="n">
        <v>143806</v>
      </c>
      <c r="O137" s="0" t="n">
        <v>3</v>
      </c>
      <c r="P137" s="0" t="n">
        <v>0</v>
      </c>
      <c r="Q137" s="0" t="s">
        <v>33</v>
      </c>
      <c r="R137" s="0" t="n">
        <v>3336</v>
      </c>
      <c r="S137" s="0" t="n">
        <v>1</v>
      </c>
      <c r="T137" s="0" t="n">
        <v>0</v>
      </c>
      <c r="U137" s="0" t="n">
        <v>0</v>
      </c>
      <c r="V137" s="0" t="n">
        <v>2</v>
      </c>
      <c r="W137" s="0" t="n">
        <v>0</v>
      </c>
      <c r="X137" s="0" t="n">
        <v>0</v>
      </c>
      <c r="Z137" s="0" t="s">
        <v>34</v>
      </c>
      <c r="AA137" s="0" t="s">
        <v>37</v>
      </c>
      <c r="AB137" s="0" t="n">
        <v>0</v>
      </c>
      <c r="AC137" s="0" t="n">
        <v>0</v>
      </c>
    </row>
    <row r="138" customFormat="false" ht="15" hidden="false" customHeight="false" outlineLevel="0" collapsed="false">
      <c r="A138" s="0" t="n">
        <v>801</v>
      </c>
      <c r="B138" s="0" t="s">
        <v>29</v>
      </c>
      <c r="C138" s="0" t="s">
        <v>43</v>
      </c>
      <c r="D138" s="0" t="s">
        <v>31</v>
      </c>
      <c r="E138" s="0" t="s">
        <v>32</v>
      </c>
      <c r="F138" s="0" t="s">
        <v>33</v>
      </c>
      <c r="G138" s="0" t="s">
        <v>53</v>
      </c>
      <c r="H138" s="0" t="n">
        <v>8</v>
      </c>
      <c r="I138" s="0" t="n">
        <v>10</v>
      </c>
      <c r="J138" s="0" t="n">
        <v>2</v>
      </c>
      <c r="K138" s="0" t="n">
        <v>52.84</v>
      </c>
      <c r="L138" s="0" t="n">
        <v>51</v>
      </c>
      <c r="M138" s="0" t="n">
        <v>-1.84</v>
      </c>
      <c r="N138" s="0" t="n">
        <v>108908</v>
      </c>
      <c r="O138" s="0" t="n">
        <v>2</v>
      </c>
      <c r="P138" s="0" t="n">
        <v>0</v>
      </c>
      <c r="Q138" s="0" t="s">
        <v>33</v>
      </c>
      <c r="R138" s="0" t="n">
        <v>3336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1</v>
      </c>
      <c r="X138" s="0" t="n">
        <v>0</v>
      </c>
      <c r="Z138" s="0" t="s">
        <v>33</v>
      </c>
      <c r="AA138" s="0" t="s">
        <v>40</v>
      </c>
      <c r="AB138" s="0" t="n">
        <v>0</v>
      </c>
      <c r="AC138" s="0" t="n">
        <v>0</v>
      </c>
    </row>
    <row r="139" customFormat="false" ht="15" hidden="false" customHeight="false" outlineLevel="0" collapsed="false">
      <c r="A139" s="0" t="n">
        <v>876</v>
      </c>
      <c r="B139" s="0" t="s">
        <v>36</v>
      </c>
      <c r="C139" s="0" t="s">
        <v>52</v>
      </c>
      <c r="D139" s="0" t="s">
        <v>54</v>
      </c>
      <c r="E139" s="0" t="s">
        <v>50</v>
      </c>
      <c r="F139" s="0" t="s">
        <v>33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88265</v>
      </c>
      <c r="O139" s="0" t="n">
        <v>4</v>
      </c>
      <c r="P139" s="0" t="n">
        <v>0</v>
      </c>
      <c r="Q139" s="0" t="s">
        <v>34</v>
      </c>
      <c r="R139" s="0" t="n">
        <v>2828</v>
      </c>
      <c r="S139" s="0" t="n">
        <v>2</v>
      </c>
      <c r="T139" s="0" t="n">
        <v>1</v>
      </c>
      <c r="U139" s="0" t="n">
        <v>0</v>
      </c>
      <c r="V139" s="0" t="n">
        <v>0</v>
      </c>
      <c r="W139" s="0" t="n">
        <v>0</v>
      </c>
      <c r="X139" s="0" t="n">
        <v>2</v>
      </c>
      <c r="Y139" s="0" t="n">
        <v>4876</v>
      </c>
      <c r="Z139" s="0" t="s">
        <v>33</v>
      </c>
      <c r="AA139" s="0" t="s">
        <v>40</v>
      </c>
      <c r="AB139" s="0" t="n">
        <v>0</v>
      </c>
      <c r="AC139" s="0" t="n">
        <v>0</v>
      </c>
    </row>
    <row r="140" customFormat="false" ht="15" hidden="false" customHeight="false" outlineLevel="0" collapsed="false">
      <c r="A140" s="0" t="n">
        <v>903</v>
      </c>
      <c r="B140" s="0" t="s">
        <v>29</v>
      </c>
      <c r="C140" s="0" t="s">
        <v>38</v>
      </c>
      <c r="D140" s="0" t="s">
        <v>31</v>
      </c>
      <c r="E140" s="0" t="s">
        <v>32</v>
      </c>
      <c r="F140" s="0" t="s">
        <v>34</v>
      </c>
      <c r="G140" s="0" t="s">
        <v>53</v>
      </c>
      <c r="H140" s="0" t="n">
        <v>6</v>
      </c>
      <c r="I140" s="0" t="n">
        <v>6</v>
      </c>
      <c r="J140" s="0" t="n">
        <v>0</v>
      </c>
      <c r="K140" s="0" t="n">
        <v>53.56</v>
      </c>
      <c r="L140" s="0" t="n">
        <v>53.56</v>
      </c>
      <c r="M140" s="0" t="n">
        <v>0</v>
      </c>
      <c r="N140" s="0" t="n">
        <v>57818</v>
      </c>
      <c r="O140" s="0" t="n">
        <v>1</v>
      </c>
      <c r="P140" s="0" t="n">
        <v>0</v>
      </c>
      <c r="Q140" s="0" t="s">
        <v>33</v>
      </c>
      <c r="R140" s="0" t="n">
        <v>3336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2</v>
      </c>
      <c r="Y140" s="0" t="n">
        <v>5889</v>
      </c>
      <c r="Z140" s="0" t="s">
        <v>33</v>
      </c>
      <c r="AA140" s="0" t="s">
        <v>40</v>
      </c>
      <c r="AB140" s="0" t="n">
        <v>0</v>
      </c>
      <c r="AC140" s="0" t="n">
        <v>0</v>
      </c>
    </row>
    <row r="141" customFormat="false" ht="15" hidden="false" customHeight="false" outlineLevel="0" collapsed="false">
      <c r="A141" s="0" t="n">
        <v>927</v>
      </c>
      <c r="B141" s="0" t="s">
        <v>29</v>
      </c>
      <c r="C141" s="0" t="s">
        <v>30</v>
      </c>
      <c r="D141" s="0" t="s">
        <v>31</v>
      </c>
      <c r="E141" s="0" t="s">
        <v>32</v>
      </c>
      <c r="F141" s="0" t="s">
        <v>34</v>
      </c>
      <c r="G141" s="0" t="s">
        <v>53</v>
      </c>
      <c r="H141" s="0" t="n">
        <v>7</v>
      </c>
      <c r="I141" s="0" t="n">
        <v>10</v>
      </c>
      <c r="J141" s="0" t="n">
        <v>3</v>
      </c>
      <c r="K141" s="0" t="n">
        <v>69.29</v>
      </c>
      <c r="L141" s="0" t="n">
        <v>61.27</v>
      </c>
      <c r="M141" s="0" t="n">
        <v>-8.02</v>
      </c>
      <c r="N141" s="0" t="n">
        <v>89636</v>
      </c>
      <c r="O141" s="0" t="n">
        <v>1</v>
      </c>
      <c r="P141" s="0" t="n">
        <v>0</v>
      </c>
      <c r="Q141" s="0" t="s">
        <v>33</v>
      </c>
      <c r="R141" s="0" t="n">
        <v>3336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4</v>
      </c>
      <c r="Y141" s="0" t="n">
        <v>5128</v>
      </c>
      <c r="Z141" s="0" t="s">
        <v>34</v>
      </c>
      <c r="AA141" s="0" t="s">
        <v>37</v>
      </c>
      <c r="AB141" s="0" t="n">
        <v>0</v>
      </c>
      <c r="AC141" s="0" t="n">
        <v>0</v>
      </c>
    </row>
    <row r="142" customFormat="false" ht="15" hidden="false" customHeight="false" outlineLevel="0" collapsed="false">
      <c r="A142" s="0" t="n">
        <v>945</v>
      </c>
      <c r="B142" s="0" t="s">
        <v>36</v>
      </c>
      <c r="C142" s="0" t="s">
        <v>38</v>
      </c>
      <c r="D142" s="0" t="s">
        <v>31</v>
      </c>
      <c r="E142" s="0" t="s">
        <v>32</v>
      </c>
      <c r="F142" s="0" t="s">
        <v>34</v>
      </c>
      <c r="G142" s="0" t="s">
        <v>53</v>
      </c>
      <c r="H142" s="0" t="n">
        <v>6</v>
      </c>
      <c r="I142" s="0" t="n">
        <v>6</v>
      </c>
      <c r="J142" s="0" t="n">
        <v>0</v>
      </c>
      <c r="K142" s="0" t="n">
        <v>34.58</v>
      </c>
      <c r="L142" s="0" t="n">
        <v>34.58</v>
      </c>
      <c r="M142" s="0" t="n">
        <v>0</v>
      </c>
      <c r="N142" s="0" t="n">
        <v>54345</v>
      </c>
      <c r="O142" s="0" t="n">
        <v>1</v>
      </c>
      <c r="P142" s="0" t="n">
        <v>0</v>
      </c>
      <c r="Q142" s="0" t="s">
        <v>33</v>
      </c>
      <c r="R142" s="0" t="n">
        <v>3336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2</v>
      </c>
      <c r="Y142" s="0" t="n">
        <v>9747</v>
      </c>
      <c r="Z142" s="0" t="s">
        <v>34</v>
      </c>
      <c r="AA142" s="0" t="s">
        <v>37</v>
      </c>
      <c r="AB142" s="0" t="n">
        <v>0</v>
      </c>
      <c r="AC142" s="0" t="n">
        <v>0</v>
      </c>
    </row>
    <row r="143" customFormat="false" ht="15" hidden="false" customHeight="false" outlineLevel="0" collapsed="false">
      <c r="A143" s="0" t="n">
        <v>946</v>
      </c>
      <c r="B143" s="0" t="s">
        <v>42</v>
      </c>
      <c r="C143" s="0" t="s">
        <v>39</v>
      </c>
      <c r="D143" s="0" t="s">
        <v>31</v>
      </c>
      <c r="E143" s="0" t="s">
        <v>32</v>
      </c>
      <c r="F143" s="0" t="s">
        <v>34</v>
      </c>
      <c r="G143" s="0" t="s">
        <v>53</v>
      </c>
      <c r="H143" s="0" t="n">
        <v>4</v>
      </c>
      <c r="I143" s="0" t="n">
        <v>4</v>
      </c>
      <c r="J143" s="0" t="n">
        <v>0</v>
      </c>
      <c r="K143" s="0" t="n">
        <v>66.34</v>
      </c>
      <c r="L143" s="0" t="n">
        <v>63.47</v>
      </c>
      <c r="M143" s="0" t="n">
        <v>-2.87</v>
      </c>
      <c r="N143" s="0" t="n">
        <v>102542</v>
      </c>
      <c r="O143" s="0" t="n">
        <v>1</v>
      </c>
      <c r="P143" s="0" t="n">
        <v>0</v>
      </c>
      <c r="Q143" s="0" t="s">
        <v>33</v>
      </c>
      <c r="R143" s="0" t="n">
        <v>3336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7</v>
      </c>
      <c r="Y143" s="0" t="n">
        <v>5851</v>
      </c>
      <c r="Z143" s="0" t="s">
        <v>33</v>
      </c>
      <c r="AA143" s="0" t="s">
        <v>40</v>
      </c>
      <c r="AB143" s="0" t="n">
        <v>0</v>
      </c>
      <c r="AC143" s="0" t="n">
        <v>0</v>
      </c>
    </row>
    <row r="144" customFormat="false" ht="15" hidden="false" customHeight="false" outlineLevel="0" collapsed="false">
      <c r="A144" s="0" t="n">
        <v>957</v>
      </c>
      <c r="B144" s="0" t="s">
        <v>29</v>
      </c>
      <c r="C144" s="0" t="s">
        <v>45</v>
      </c>
      <c r="D144" s="0" t="s">
        <v>31</v>
      </c>
      <c r="E144" s="0" t="s">
        <v>32</v>
      </c>
      <c r="F144" s="0" t="s">
        <v>33</v>
      </c>
      <c r="G144" s="0" t="s">
        <v>53</v>
      </c>
      <c r="H144" s="0" t="n">
        <v>6</v>
      </c>
      <c r="I144" s="0" t="n">
        <v>6</v>
      </c>
      <c r="J144" s="0" t="n">
        <v>0</v>
      </c>
      <c r="K144" s="0" t="n">
        <v>53.69</v>
      </c>
      <c r="L144" s="0" t="n">
        <v>55.91</v>
      </c>
      <c r="M144" s="0" t="n">
        <v>2.22</v>
      </c>
      <c r="N144" s="0" t="n">
        <v>101976</v>
      </c>
      <c r="O144" s="0" t="n">
        <v>2</v>
      </c>
      <c r="P144" s="0" t="n">
        <v>0</v>
      </c>
      <c r="Q144" s="0" t="s">
        <v>33</v>
      </c>
      <c r="R144" s="0" t="n">
        <v>3336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Z144" s="0" t="s">
        <v>34</v>
      </c>
      <c r="AA144" s="0" t="s">
        <v>37</v>
      </c>
      <c r="AB144" s="0" t="n">
        <v>0</v>
      </c>
      <c r="AC144" s="0" t="n">
        <v>0</v>
      </c>
    </row>
    <row r="145" customFormat="false" ht="15" hidden="false" customHeight="false" outlineLevel="0" collapsed="false">
      <c r="A145" s="0" t="n">
        <v>967</v>
      </c>
      <c r="B145" s="0" t="s">
        <v>42</v>
      </c>
      <c r="C145" s="0" t="s">
        <v>44</v>
      </c>
      <c r="D145" s="0" t="s">
        <v>31</v>
      </c>
      <c r="E145" s="0" t="s">
        <v>32</v>
      </c>
      <c r="F145" s="0" t="s">
        <v>34</v>
      </c>
      <c r="G145" s="0" t="s">
        <v>53</v>
      </c>
      <c r="H145" s="0" t="n">
        <v>3</v>
      </c>
      <c r="I145" s="0" t="n">
        <v>3</v>
      </c>
      <c r="J145" s="0" t="n">
        <v>0</v>
      </c>
      <c r="K145" s="0" t="n">
        <v>63.39</v>
      </c>
      <c r="L145" s="0" t="n">
        <v>63.95</v>
      </c>
      <c r="M145" s="0" t="n">
        <v>0.56</v>
      </c>
      <c r="N145" s="0" t="n">
        <v>77777</v>
      </c>
      <c r="O145" s="0" t="n">
        <v>1</v>
      </c>
      <c r="P145" s="0" t="n">
        <v>0</v>
      </c>
      <c r="Q145" s="0" t="s">
        <v>33</v>
      </c>
      <c r="R145" s="0" t="n">
        <v>3336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4</v>
      </c>
      <c r="Y145" s="0" t="n">
        <v>4542</v>
      </c>
      <c r="Z145" s="0" t="s">
        <v>34</v>
      </c>
      <c r="AA145" s="0" t="s">
        <v>37</v>
      </c>
      <c r="AB145" s="0" t="n">
        <v>0</v>
      </c>
      <c r="AC145" s="0" t="n">
        <v>0</v>
      </c>
    </row>
    <row r="146" customFormat="false" ht="15" hidden="false" customHeight="false" outlineLevel="0" collapsed="false">
      <c r="A146" s="0" t="n">
        <v>975</v>
      </c>
      <c r="B146" s="0" t="s">
        <v>29</v>
      </c>
      <c r="C146" s="0" t="s">
        <v>45</v>
      </c>
      <c r="D146" s="0" t="s">
        <v>31</v>
      </c>
      <c r="E146" s="0" t="s">
        <v>32</v>
      </c>
      <c r="F146" s="0" t="s">
        <v>33</v>
      </c>
      <c r="G146" s="0" t="s">
        <v>53</v>
      </c>
      <c r="H146" s="0" t="n">
        <v>2</v>
      </c>
      <c r="I146" s="0" t="n">
        <v>2</v>
      </c>
      <c r="J146" s="0" t="n">
        <v>0</v>
      </c>
      <c r="K146" s="0" t="n">
        <v>45.1</v>
      </c>
      <c r="L146" s="0" t="n">
        <v>45.95</v>
      </c>
      <c r="M146" s="0" t="n">
        <v>0.85</v>
      </c>
      <c r="N146" s="0" t="n">
        <v>149747</v>
      </c>
      <c r="O146" s="0" t="n">
        <v>3</v>
      </c>
      <c r="P146" s="0" t="n">
        <v>0</v>
      </c>
      <c r="Q146" s="0" t="s">
        <v>33</v>
      </c>
      <c r="R146" s="0" t="n">
        <v>3336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0</v>
      </c>
      <c r="X146" s="0" t="n">
        <v>0</v>
      </c>
      <c r="Z146" s="0" t="s">
        <v>34</v>
      </c>
      <c r="AA146" s="0" t="s">
        <v>37</v>
      </c>
      <c r="AB146" s="0" t="n">
        <v>0</v>
      </c>
      <c r="AC146" s="0" t="n">
        <v>0</v>
      </c>
    </row>
    <row r="147" customFormat="false" ht="15" hidden="false" customHeight="false" outlineLevel="0" collapsed="false">
      <c r="A147" s="0" t="n">
        <v>1008</v>
      </c>
      <c r="B147" s="0" t="s">
        <v>29</v>
      </c>
      <c r="C147" s="0" t="s">
        <v>46</v>
      </c>
      <c r="D147" s="0" t="s">
        <v>31</v>
      </c>
      <c r="E147" s="0" t="s">
        <v>32</v>
      </c>
      <c r="F147" s="0" t="s">
        <v>33</v>
      </c>
      <c r="G147" s="0" t="s">
        <v>53</v>
      </c>
      <c r="H147" s="0" t="n">
        <v>8</v>
      </c>
      <c r="I147" s="0" t="n">
        <v>4</v>
      </c>
      <c r="J147" s="0" t="n">
        <v>-4</v>
      </c>
      <c r="K147" s="0" t="n">
        <v>42.71</v>
      </c>
      <c r="L147" s="0" t="n">
        <v>45.35</v>
      </c>
      <c r="M147" s="0" t="n">
        <v>2.64</v>
      </c>
      <c r="N147" s="0" t="n">
        <v>219648</v>
      </c>
      <c r="O147" s="0" t="n">
        <v>2</v>
      </c>
      <c r="P147" s="0" t="n">
        <v>0</v>
      </c>
      <c r="Q147" s="0" t="s">
        <v>33</v>
      </c>
      <c r="R147" s="0" t="n">
        <v>3336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1</v>
      </c>
      <c r="X147" s="0" t="n">
        <v>4</v>
      </c>
      <c r="Y147" s="0" t="n">
        <v>10354</v>
      </c>
      <c r="Z147" s="0" t="s">
        <v>34</v>
      </c>
      <c r="AA147" s="0" t="s">
        <v>37</v>
      </c>
      <c r="AB147" s="0" t="n">
        <v>0</v>
      </c>
      <c r="AC147" s="0" t="n">
        <v>0</v>
      </c>
    </row>
    <row r="148" customFormat="false" ht="15" hidden="false" customHeight="false" outlineLevel="0" collapsed="false">
      <c r="A148" s="0" t="n">
        <v>1011</v>
      </c>
      <c r="B148" s="0" t="s">
        <v>42</v>
      </c>
      <c r="C148" s="0" t="s">
        <v>47</v>
      </c>
      <c r="D148" s="0" t="s">
        <v>31</v>
      </c>
      <c r="E148" s="0" t="s">
        <v>32</v>
      </c>
      <c r="F148" s="0" t="s">
        <v>34</v>
      </c>
      <c r="G148" s="0" t="s">
        <v>53</v>
      </c>
      <c r="H148" s="0" t="n">
        <v>4</v>
      </c>
      <c r="I148" s="0" t="n">
        <v>4</v>
      </c>
      <c r="J148" s="0" t="n">
        <v>0</v>
      </c>
      <c r="K148" s="0" t="n">
        <v>60.07</v>
      </c>
      <c r="L148" s="0" t="n">
        <v>60.07</v>
      </c>
      <c r="M148" s="0" t="n">
        <v>0</v>
      </c>
      <c r="N148" s="0" t="n">
        <v>44720</v>
      </c>
      <c r="O148" s="0" t="n">
        <v>1</v>
      </c>
      <c r="P148" s="0" t="n">
        <v>0</v>
      </c>
      <c r="Q148" s="0" t="s">
        <v>33</v>
      </c>
      <c r="R148" s="0" t="n">
        <v>3336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5</v>
      </c>
      <c r="Y148" s="0" t="n">
        <v>2553</v>
      </c>
      <c r="Z148" s="0" t="s">
        <v>34</v>
      </c>
      <c r="AA148" s="0" t="s">
        <v>37</v>
      </c>
      <c r="AB148" s="0" t="n">
        <v>0</v>
      </c>
      <c r="AC148" s="0" t="n">
        <v>0</v>
      </c>
    </row>
    <row r="149" customFormat="false" ht="15" hidden="false" customHeight="false" outlineLevel="0" collapsed="false">
      <c r="A149" s="0" t="n">
        <v>1014</v>
      </c>
      <c r="B149" s="0" t="s">
        <v>36</v>
      </c>
      <c r="C149" s="0" t="s">
        <v>39</v>
      </c>
      <c r="D149" s="0" t="s">
        <v>31</v>
      </c>
      <c r="E149" s="0" t="s">
        <v>32</v>
      </c>
      <c r="F149" s="0" t="s">
        <v>34</v>
      </c>
      <c r="G149" s="0" t="s">
        <v>53</v>
      </c>
      <c r="H149" s="0" t="n">
        <v>4</v>
      </c>
      <c r="I149" s="0" t="n">
        <v>4</v>
      </c>
      <c r="J149" s="0" t="n">
        <v>0</v>
      </c>
      <c r="K149" s="0" t="n">
        <v>66.08</v>
      </c>
      <c r="L149" s="0" t="n">
        <v>43.07</v>
      </c>
      <c r="M149" s="0" t="n">
        <v>-23.01</v>
      </c>
      <c r="N149" s="0" t="n">
        <v>48527</v>
      </c>
      <c r="O149" s="0" t="n">
        <v>1</v>
      </c>
      <c r="P149" s="0" t="n">
        <v>0</v>
      </c>
      <c r="Q149" s="0" t="s">
        <v>33</v>
      </c>
      <c r="R149" s="0" t="n">
        <v>3336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2</v>
      </c>
      <c r="Y149" s="0" t="n">
        <v>6406</v>
      </c>
      <c r="Z149" s="0" t="s">
        <v>33</v>
      </c>
      <c r="AA149" s="0" t="s">
        <v>40</v>
      </c>
      <c r="AB149" s="0" t="n">
        <v>0</v>
      </c>
      <c r="AC149" s="0" t="n">
        <v>0</v>
      </c>
    </row>
    <row r="150" customFormat="false" ht="15" hidden="false" customHeight="false" outlineLevel="0" collapsed="false">
      <c r="A150" s="0" t="n">
        <v>1027</v>
      </c>
      <c r="B150" s="0" t="s">
        <v>42</v>
      </c>
      <c r="C150" s="0" t="s">
        <v>38</v>
      </c>
      <c r="D150" s="0" t="s">
        <v>31</v>
      </c>
      <c r="E150" s="0" t="s">
        <v>32</v>
      </c>
      <c r="F150" s="0" t="s">
        <v>33</v>
      </c>
      <c r="G150" s="0" t="s">
        <v>53</v>
      </c>
      <c r="H150" s="0" t="n">
        <v>4</v>
      </c>
      <c r="I150" s="0" t="n">
        <v>4</v>
      </c>
      <c r="J150" s="0" t="n">
        <v>0</v>
      </c>
      <c r="K150" s="0" t="n">
        <v>64.95</v>
      </c>
      <c r="L150" s="0" t="n">
        <v>64.95</v>
      </c>
      <c r="M150" s="0" t="n">
        <v>0</v>
      </c>
      <c r="N150" s="0" t="n">
        <v>91483</v>
      </c>
      <c r="O150" s="0" t="n">
        <v>2</v>
      </c>
      <c r="P150" s="0" t="n">
        <v>0</v>
      </c>
      <c r="Q150" s="0" t="s">
        <v>33</v>
      </c>
      <c r="R150" s="0" t="n">
        <v>3336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1</v>
      </c>
      <c r="X150" s="0" t="n">
        <v>2</v>
      </c>
      <c r="Y150" s="0" t="n">
        <v>4526</v>
      </c>
      <c r="Z150" s="0" t="s">
        <v>34</v>
      </c>
      <c r="AA150" s="0" t="s">
        <v>37</v>
      </c>
      <c r="AB150" s="0" t="n">
        <v>0</v>
      </c>
      <c r="AC150" s="0" t="n">
        <v>0</v>
      </c>
    </row>
    <row r="151" customFormat="false" ht="15" hidden="false" customHeight="false" outlineLevel="0" collapsed="false">
      <c r="A151" s="0" t="n">
        <v>1035</v>
      </c>
      <c r="B151" s="0" t="s">
        <v>42</v>
      </c>
      <c r="C151" s="0" t="s">
        <v>30</v>
      </c>
      <c r="D151" s="0" t="s">
        <v>31</v>
      </c>
      <c r="E151" s="0" t="s">
        <v>32</v>
      </c>
      <c r="F151" s="0" t="s">
        <v>34</v>
      </c>
      <c r="G151" s="0" t="s">
        <v>53</v>
      </c>
      <c r="H151" s="0" t="n">
        <v>5</v>
      </c>
      <c r="I151" s="0" t="n">
        <v>5</v>
      </c>
      <c r="J151" s="0" t="n">
        <v>0</v>
      </c>
      <c r="K151" s="0" t="n">
        <v>62.68</v>
      </c>
      <c r="L151" s="0" t="n">
        <v>57.34</v>
      </c>
      <c r="M151" s="0" t="n">
        <v>-5.34</v>
      </c>
      <c r="N151" s="0" t="n">
        <v>85398</v>
      </c>
      <c r="O151" s="0" t="n">
        <v>1</v>
      </c>
      <c r="P151" s="0" t="n">
        <v>0</v>
      </c>
      <c r="Q151" s="0" t="s">
        <v>33</v>
      </c>
      <c r="R151" s="0" t="n">
        <v>3336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4</v>
      </c>
      <c r="Y151" s="0" t="n">
        <v>4864</v>
      </c>
      <c r="Z151" s="0" t="s">
        <v>33</v>
      </c>
      <c r="AA151" s="0" t="s">
        <v>40</v>
      </c>
      <c r="AB151" s="0" t="n">
        <v>0</v>
      </c>
      <c r="AC151" s="0" t="n">
        <v>0</v>
      </c>
    </row>
    <row r="152" customFormat="false" ht="15" hidden="false" customHeight="false" outlineLevel="0" collapsed="false">
      <c r="A152" s="0" t="n">
        <v>1038</v>
      </c>
      <c r="B152" s="0" t="s">
        <v>29</v>
      </c>
      <c r="C152" s="0" t="s">
        <v>41</v>
      </c>
      <c r="D152" s="0" t="s">
        <v>54</v>
      </c>
      <c r="E152" s="0" t="s">
        <v>50</v>
      </c>
      <c r="F152" s="0" t="s">
        <v>33</v>
      </c>
      <c r="H152" s="0" t="n">
        <v>4</v>
      </c>
      <c r="I152" s="0" t="n">
        <v>4</v>
      </c>
      <c r="J152" s="0" t="n">
        <v>0</v>
      </c>
      <c r="K152" s="0" t="n">
        <v>48.05</v>
      </c>
      <c r="L152" s="0" t="n">
        <v>48.05</v>
      </c>
      <c r="M152" s="0" t="n">
        <v>0</v>
      </c>
      <c r="N152" s="0" t="n">
        <v>144323</v>
      </c>
      <c r="O152" s="0" t="n">
        <v>4</v>
      </c>
      <c r="P152" s="0" t="n">
        <v>0</v>
      </c>
      <c r="Q152" s="0" t="s">
        <v>34</v>
      </c>
      <c r="R152" s="0" t="n">
        <v>2828</v>
      </c>
      <c r="S152" s="0" t="n">
        <v>0</v>
      </c>
      <c r="T152" s="0" t="n">
        <v>1</v>
      </c>
      <c r="U152" s="0" t="n">
        <v>0</v>
      </c>
      <c r="V152" s="0" t="n">
        <v>2</v>
      </c>
      <c r="W152" s="0" t="n">
        <v>0</v>
      </c>
      <c r="X152" s="0" t="n">
        <v>2</v>
      </c>
      <c r="Y152" s="0" t="n">
        <v>7936</v>
      </c>
      <c r="Z152" s="0" t="s">
        <v>34</v>
      </c>
      <c r="AA152" s="0" t="s">
        <v>37</v>
      </c>
      <c r="AB152" s="0" t="n">
        <v>0</v>
      </c>
      <c r="AC152" s="0" t="n">
        <v>0</v>
      </c>
    </row>
    <row r="153" customFormat="false" ht="15" hidden="false" customHeight="false" outlineLevel="0" collapsed="false">
      <c r="A153" s="0" t="n">
        <v>1043</v>
      </c>
      <c r="B153" s="0" t="s">
        <v>42</v>
      </c>
      <c r="C153" s="0" t="s">
        <v>39</v>
      </c>
      <c r="D153" s="0" t="s">
        <v>31</v>
      </c>
      <c r="E153" s="0" t="s">
        <v>32</v>
      </c>
      <c r="F153" s="0" t="s">
        <v>34</v>
      </c>
      <c r="G153" s="0" t="s">
        <v>53</v>
      </c>
      <c r="H153" s="0" t="n">
        <v>3</v>
      </c>
      <c r="I153" s="0" t="n">
        <v>3</v>
      </c>
      <c r="J153" s="0" t="n">
        <v>0</v>
      </c>
      <c r="K153" s="0" t="n">
        <v>76.52</v>
      </c>
      <c r="L153" s="0" t="n">
        <v>69.37</v>
      </c>
      <c r="M153" s="0" t="n">
        <v>-7.15</v>
      </c>
      <c r="N153" s="0" t="n">
        <v>63398</v>
      </c>
      <c r="O153" s="0" t="n">
        <v>1</v>
      </c>
      <c r="P153" s="0" t="n">
        <v>0</v>
      </c>
      <c r="Q153" s="0" t="s">
        <v>33</v>
      </c>
      <c r="R153" s="0" t="n">
        <v>3334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4</v>
      </c>
      <c r="Y153" s="0" t="n">
        <v>4428</v>
      </c>
      <c r="Z153" s="0" t="s">
        <v>34</v>
      </c>
      <c r="AA153" s="0" t="s">
        <v>37</v>
      </c>
      <c r="AB153" s="0" t="n">
        <v>0</v>
      </c>
      <c r="AC153" s="0" t="n">
        <v>0</v>
      </c>
    </row>
    <row r="154" customFormat="false" ht="15" hidden="false" customHeight="false" outlineLevel="0" collapsed="false">
      <c r="A154" s="0" t="n">
        <v>1047</v>
      </c>
      <c r="B154" s="0" t="s">
        <v>42</v>
      </c>
      <c r="C154" s="0" t="s">
        <v>43</v>
      </c>
      <c r="D154" s="0" t="s">
        <v>31</v>
      </c>
      <c r="E154" s="0" t="s">
        <v>32</v>
      </c>
      <c r="F154" s="0" t="s">
        <v>34</v>
      </c>
      <c r="G154" s="0" t="s">
        <v>53</v>
      </c>
      <c r="H154" s="0" t="n">
        <v>9</v>
      </c>
      <c r="I154" s="0" t="n">
        <v>9</v>
      </c>
      <c r="J154" s="0" t="n">
        <v>0</v>
      </c>
      <c r="K154" s="0" t="n">
        <v>57.33</v>
      </c>
      <c r="L154" s="0" t="n">
        <v>61.3</v>
      </c>
      <c r="M154" s="0" t="n">
        <v>3.97</v>
      </c>
      <c r="N154" s="0" t="n">
        <v>64594</v>
      </c>
      <c r="O154" s="0" t="n">
        <v>1</v>
      </c>
      <c r="P154" s="0" t="n">
        <v>0</v>
      </c>
      <c r="Q154" s="0" t="s">
        <v>33</v>
      </c>
      <c r="R154" s="0" t="n">
        <v>3334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Z154" s="0" t="s">
        <v>34</v>
      </c>
      <c r="AA154" s="0" t="s">
        <v>37</v>
      </c>
      <c r="AB154" s="0" t="n">
        <v>0</v>
      </c>
      <c r="AC154" s="0" t="n">
        <v>0</v>
      </c>
    </row>
    <row r="155" customFormat="false" ht="15" hidden="false" customHeight="false" outlineLevel="0" collapsed="false">
      <c r="A155" s="0" t="n">
        <v>1053</v>
      </c>
      <c r="B155" s="0" t="s">
        <v>29</v>
      </c>
      <c r="C155" s="0" t="s">
        <v>38</v>
      </c>
      <c r="D155" s="0" t="s">
        <v>31</v>
      </c>
      <c r="E155" s="0" t="s">
        <v>32</v>
      </c>
      <c r="F155" s="0" t="s">
        <v>33</v>
      </c>
      <c r="G155" s="0" t="s">
        <v>53</v>
      </c>
      <c r="H155" s="0" t="n">
        <v>6</v>
      </c>
      <c r="I155" s="0" t="n">
        <v>6</v>
      </c>
      <c r="J155" s="0" t="n">
        <v>0</v>
      </c>
      <c r="K155" s="0" t="n">
        <v>44.39</v>
      </c>
      <c r="L155" s="0" t="n">
        <v>44.39</v>
      </c>
      <c r="M155" s="0" t="n">
        <v>0</v>
      </c>
      <c r="N155" s="0" t="n">
        <v>96170</v>
      </c>
      <c r="O155" s="0" t="n">
        <v>2</v>
      </c>
      <c r="P155" s="0" t="n">
        <v>0</v>
      </c>
      <c r="Q155" s="0" t="s">
        <v>33</v>
      </c>
      <c r="R155" s="0" t="n">
        <v>3336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1</v>
      </c>
      <c r="X155" s="0" t="n">
        <v>2</v>
      </c>
      <c r="Y155" s="0" t="n">
        <v>6914</v>
      </c>
      <c r="Z155" s="0" t="s">
        <v>34</v>
      </c>
      <c r="AA155" s="0" t="s">
        <v>37</v>
      </c>
      <c r="AB155" s="0" t="n">
        <v>0</v>
      </c>
      <c r="AC155" s="0" t="n">
        <v>0</v>
      </c>
    </row>
    <row r="156" customFormat="false" ht="15" hidden="false" customHeight="false" outlineLevel="0" collapsed="false">
      <c r="A156" s="0" t="n">
        <v>1060</v>
      </c>
      <c r="B156" s="0" t="s">
        <v>42</v>
      </c>
      <c r="C156" s="0" t="s">
        <v>47</v>
      </c>
      <c r="D156" s="0" t="s">
        <v>31</v>
      </c>
      <c r="E156" s="0" t="s">
        <v>32</v>
      </c>
      <c r="F156" s="0" t="s">
        <v>34</v>
      </c>
      <c r="G156" s="0" t="s">
        <v>53</v>
      </c>
      <c r="H156" s="0" t="n">
        <v>2</v>
      </c>
      <c r="I156" s="0" t="n">
        <v>2</v>
      </c>
      <c r="J156" s="0" t="n">
        <v>0</v>
      </c>
      <c r="K156" s="0" t="n">
        <v>67.5</v>
      </c>
      <c r="L156" s="0" t="n">
        <v>67.62</v>
      </c>
      <c r="M156" s="0" t="n">
        <v>0.12</v>
      </c>
      <c r="N156" s="0" t="n">
        <v>45636</v>
      </c>
      <c r="O156" s="0" t="n">
        <v>1</v>
      </c>
      <c r="P156" s="0" t="n">
        <v>0</v>
      </c>
      <c r="Q156" s="0" t="s">
        <v>33</v>
      </c>
      <c r="R156" s="0" t="n">
        <v>3336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2</v>
      </c>
      <c r="Y156" s="0" t="n">
        <v>3598</v>
      </c>
      <c r="Z156" s="0" t="s">
        <v>34</v>
      </c>
      <c r="AA156" s="0" t="s">
        <v>37</v>
      </c>
      <c r="AB156" s="0" t="n">
        <v>0</v>
      </c>
      <c r="AC156" s="0" t="n">
        <v>0</v>
      </c>
    </row>
    <row r="157" customFormat="false" ht="15" hidden="false" customHeight="false" outlineLevel="0" collapsed="false">
      <c r="A157" s="0" t="n">
        <v>1068</v>
      </c>
      <c r="B157" s="0" t="s">
        <v>29</v>
      </c>
      <c r="C157" s="0" t="s">
        <v>43</v>
      </c>
      <c r="D157" s="0" t="s">
        <v>31</v>
      </c>
      <c r="E157" s="0" t="s">
        <v>32</v>
      </c>
      <c r="F157" s="0" t="s">
        <v>34</v>
      </c>
      <c r="G157" s="0" t="s">
        <v>53</v>
      </c>
      <c r="H157" s="0" t="n">
        <v>6</v>
      </c>
      <c r="I157" s="0" t="n">
        <v>9</v>
      </c>
      <c r="J157" s="0" t="n">
        <v>3</v>
      </c>
      <c r="K157" s="0" t="n">
        <v>47.18</v>
      </c>
      <c r="L157" s="0" t="n">
        <v>39.07</v>
      </c>
      <c r="M157" s="0" t="n">
        <v>-8.11</v>
      </c>
      <c r="N157" s="0" t="n">
        <v>60501</v>
      </c>
      <c r="O157" s="0" t="n">
        <v>1</v>
      </c>
      <c r="P157" s="0" t="n">
        <v>0</v>
      </c>
      <c r="Q157" s="0" t="s">
        <v>33</v>
      </c>
      <c r="R157" s="0" t="n">
        <v>3336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2</v>
      </c>
      <c r="Y157" s="0" t="n">
        <v>7657</v>
      </c>
      <c r="Z157" s="0" t="s">
        <v>34</v>
      </c>
      <c r="AA157" s="0" t="s">
        <v>37</v>
      </c>
      <c r="AB157" s="0" t="n">
        <v>0</v>
      </c>
      <c r="AC157" s="0" t="n">
        <v>0</v>
      </c>
    </row>
    <row r="158" customFormat="false" ht="15" hidden="false" customHeight="false" outlineLevel="0" collapsed="false">
      <c r="A158" s="0" t="n">
        <v>1069</v>
      </c>
      <c r="B158" s="0" t="s">
        <v>29</v>
      </c>
      <c r="C158" s="0" t="s">
        <v>45</v>
      </c>
      <c r="D158" s="0" t="s">
        <v>31</v>
      </c>
      <c r="E158" s="0" t="s">
        <v>32</v>
      </c>
      <c r="F158" s="0" t="s">
        <v>34</v>
      </c>
      <c r="G158" s="0" t="s">
        <v>53</v>
      </c>
      <c r="H158" s="0" t="n">
        <v>4</v>
      </c>
      <c r="I158" s="0" t="n">
        <v>3</v>
      </c>
      <c r="J158" s="0" t="n">
        <v>-1</v>
      </c>
      <c r="K158" s="0" t="n">
        <v>40.64</v>
      </c>
      <c r="L158" s="0" t="n">
        <v>53.69</v>
      </c>
      <c r="M158" s="0" t="n">
        <v>13.05</v>
      </c>
      <c r="N158" s="0" t="n">
        <v>70391</v>
      </c>
      <c r="O158" s="0" t="n">
        <v>1</v>
      </c>
      <c r="P158" s="0" t="n">
        <v>0</v>
      </c>
      <c r="Q158" s="0" t="s">
        <v>33</v>
      </c>
      <c r="R158" s="0" t="n">
        <v>3336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Z158" s="0" t="s">
        <v>34</v>
      </c>
      <c r="AA158" s="0" t="s">
        <v>37</v>
      </c>
      <c r="AB158" s="0" t="n">
        <v>0</v>
      </c>
      <c r="AC158" s="0" t="n">
        <v>0</v>
      </c>
    </row>
    <row r="159" customFormat="false" ht="15" hidden="false" customHeight="false" outlineLevel="0" collapsed="false">
      <c r="A159" s="0" t="n">
        <v>1092</v>
      </c>
      <c r="B159" s="0" t="s">
        <v>42</v>
      </c>
      <c r="C159" s="0" t="s">
        <v>52</v>
      </c>
      <c r="D159" s="0" t="s">
        <v>31</v>
      </c>
      <c r="E159" s="0" t="s">
        <v>32</v>
      </c>
      <c r="F159" s="0" t="s">
        <v>34</v>
      </c>
      <c r="G159" s="0" t="s">
        <v>53</v>
      </c>
      <c r="H159" s="0" t="n">
        <v>8</v>
      </c>
      <c r="I159" s="0" t="n">
        <v>8</v>
      </c>
      <c r="J159" s="0" t="n">
        <v>0</v>
      </c>
      <c r="K159" s="0" t="n">
        <v>37.86</v>
      </c>
      <c r="L159" s="0" t="n">
        <v>37.97</v>
      </c>
      <c r="M159" s="0" t="n">
        <v>0.11</v>
      </c>
      <c r="N159" s="0" t="n">
        <v>122596</v>
      </c>
      <c r="O159" s="0" t="n">
        <v>1</v>
      </c>
      <c r="P159" s="0" t="n">
        <v>0</v>
      </c>
      <c r="Q159" s="0" t="s">
        <v>33</v>
      </c>
      <c r="R159" s="0" t="n">
        <v>3336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5</v>
      </c>
      <c r="Y159" s="0" t="n">
        <v>10094</v>
      </c>
      <c r="Z159" s="0" t="s">
        <v>33</v>
      </c>
      <c r="AA159" s="0" t="s">
        <v>40</v>
      </c>
      <c r="AB159" s="0" t="n">
        <v>0</v>
      </c>
      <c r="AC159" s="0" t="n">
        <v>0</v>
      </c>
    </row>
    <row r="160" customFormat="false" ht="15" hidden="false" customHeight="false" outlineLevel="0" collapsed="false">
      <c r="A160" s="0" t="n">
        <v>1096</v>
      </c>
      <c r="B160" s="0" t="s">
        <v>42</v>
      </c>
      <c r="C160" s="0" t="s">
        <v>44</v>
      </c>
      <c r="D160" s="0" t="s">
        <v>31</v>
      </c>
      <c r="E160" s="0" t="s">
        <v>32</v>
      </c>
      <c r="F160" s="0" t="s">
        <v>34</v>
      </c>
      <c r="G160" s="0" t="s">
        <v>53</v>
      </c>
      <c r="H160" s="0" t="n">
        <v>3</v>
      </c>
      <c r="I160" s="0" t="n">
        <v>3</v>
      </c>
      <c r="J160" s="0" t="n">
        <v>0</v>
      </c>
      <c r="K160" s="0" t="n">
        <v>56.31</v>
      </c>
      <c r="L160" s="0" t="n">
        <v>57.14</v>
      </c>
      <c r="M160" s="0" t="n">
        <v>0.83</v>
      </c>
      <c r="N160" s="0" t="n">
        <v>52223</v>
      </c>
      <c r="O160" s="0" t="n">
        <v>1</v>
      </c>
      <c r="P160" s="0" t="n">
        <v>0</v>
      </c>
      <c r="Q160" s="0" t="s">
        <v>33</v>
      </c>
      <c r="R160" s="0" t="n">
        <v>3336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2</v>
      </c>
      <c r="Y160" s="0" t="n">
        <v>5126</v>
      </c>
      <c r="Z160" s="0" t="s">
        <v>33</v>
      </c>
      <c r="AA160" s="0" t="s">
        <v>40</v>
      </c>
      <c r="AB160" s="0" t="n">
        <v>0</v>
      </c>
      <c r="AC160" s="0" t="n">
        <v>0</v>
      </c>
    </row>
    <row r="161" customFormat="false" ht="15" hidden="false" customHeight="false" outlineLevel="0" collapsed="false">
      <c r="A161" s="0" t="n">
        <v>1098</v>
      </c>
      <c r="B161" s="0" t="s">
        <v>29</v>
      </c>
      <c r="C161" s="0" t="s">
        <v>41</v>
      </c>
      <c r="D161" s="0" t="s">
        <v>54</v>
      </c>
      <c r="E161" s="0" t="s">
        <v>50</v>
      </c>
      <c r="F161" s="0" t="s">
        <v>33</v>
      </c>
      <c r="H161" s="0" t="n">
        <v>6</v>
      </c>
      <c r="I161" s="0" t="n">
        <v>6</v>
      </c>
      <c r="J161" s="0" t="n">
        <v>0</v>
      </c>
      <c r="K161" s="0" t="n">
        <v>40.13</v>
      </c>
      <c r="L161" s="0" t="n">
        <v>40.13</v>
      </c>
      <c r="M161" s="0" t="n">
        <v>0</v>
      </c>
      <c r="N161" s="0" t="n">
        <v>169386</v>
      </c>
      <c r="O161" s="0" t="n">
        <v>4</v>
      </c>
      <c r="P161" s="0" t="n">
        <v>0</v>
      </c>
      <c r="Q161" s="0" t="s">
        <v>34</v>
      </c>
      <c r="R161" s="0" t="n">
        <v>2828</v>
      </c>
      <c r="S161" s="0" t="n">
        <v>0</v>
      </c>
      <c r="T161" s="0" t="n">
        <v>0</v>
      </c>
      <c r="U161" s="0" t="n">
        <v>0</v>
      </c>
      <c r="V161" s="0" t="n">
        <v>3</v>
      </c>
      <c r="W161" s="0" t="n">
        <v>0</v>
      </c>
      <c r="X161" s="0" t="n">
        <v>4</v>
      </c>
      <c r="Y161" s="0" t="n">
        <v>7964</v>
      </c>
      <c r="Z161" s="0" t="s">
        <v>34</v>
      </c>
      <c r="AA161" s="0" t="s">
        <v>37</v>
      </c>
      <c r="AB161" s="0" t="n">
        <v>0</v>
      </c>
      <c r="AC161" s="0" t="n">
        <v>0</v>
      </c>
    </row>
    <row r="162" customFormat="false" ht="15" hidden="false" customHeight="false" outlineLevel="0" collapsed="false">
      <c r="A162" s="0" t="n">
        <v>1111</v>
      </c>
      <c r="B162" s="0" t="s">
        <v>36</v>
      </c>
      <c r="C162" s="0" t="s">
        <v>44</v>
      </c>
      <c r="D162" s="0" t="s">
        <v>31</v>
      </c>
      <c r="E162" s="0" t="s">
        <v>32</v>
      </c>
      <c r="F162" s="0" t="s">
        <v>34</v>
      </c>
      <c r="G162" s="0" t="s">
        <v>53</v>
      </c>
      <c r="H162" s="0" t="n">
        <v>3</v>
      </c>
      <c r="I162" s="0" t="n">
        <v>3</v>
      </c>
      <c r="J162" s="0" t="n">
        <v>0</v>
      </c>
      <c r="K162" s="0" t="n">
        <v>66.61</v>
      </c>
      <c r="L162" s="0" t="n">
        <v>62.88</v>
      </c>
      <c r="M162" s="0" t="n">
        <v>-3.73</v>
      </c>
      <c r="N162" s="0" t="n">
        <v>75321</v>
      </c>
      <c r="O162" s="0" t="n">
        <v>1</v>
      </c>
      <c r="P162" s="0" t="n">
        <v>0</v>
      </c>
      <c r="Q162" s="0" t="s">
        <v>33</v>
      </c>
      <c r="R162" s="0" t="n">
        <v>3336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4</v>
      </c>
      <c r="Y162" s="0" t="n">
        <v>4337</v>
      </c>
      <c r="Z162" s="0" t="s">
        <v>34</v>
      </c>
      <c r="AA162" s="0" t="s">
        <v>37</v>
      </c>
      <c r="AB162" s="0" t="n">
        <v>0</v>
      </c>
      <c r="AC162" s="0" t="n">
        <v>0</v>
      </c>
    </row>
    <row r="163" customFormat="false" ht="15" hidden="false" customHeight="false" outlineLevel="0" collapsed="false">
      <c r="A163" s="0" t="n">
        <v>1112</v>
      </c>
      <c r="B163" s="0" t="s">
        <v>42</v>
      </c>
      <c r="C163" s="0" t="s">
        <v>38</v>
      </c>
      <c r="D163" s="0" t="s">
        <v>31</v>
      </c>
      <c r="E163" s="0" t="s">
        <v>32</v>
      </c>
      <c r="F163" s="0" t="s">
        <v>34</v>
      </c>
      <c r="G163" s="0" t="s">
        <v>53</v>
      </c>
      <c r="H163" s="0" t="n">
        <v>4</v>
      </c>
      <c r="I163" s="0" t="n">
        <v>4</v>
      </c>
      <c r="J163" s="0" t="n">
        <v>0</v>
      </c>
      <c r="K163" s="0" t="n">
        <v>49.02</v>
      </c>
      <c r="L163" s="0" t="n">
        <v>49.02</v>
      </c>
      <c r="M163" s="0" t="n">
        <v>0</v>
      </c>
      <c r="N163" s="0" t="n">
        <v>50894</v>
      </c>
      <c r="O163" s="0" t="n">
        <v>1</v>
      </c>
      <c r="P163" s="0" t="n">
        <v>0</v>
      </c>
      <c r="Q163" s="0" t="s">
        <v>33</v>
      </c>
      <c r="R163" s="0" t="n">
        <v>3336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2</v>
      </c>
      <c r="Y163" s="0" t="n">
        <v>6529</v>
      </c>
      <c r="Z163" s="0" t="s">
        <v>34</v>
      </c>
      <c r="AA163" s="0" t="s">
        <v>37</v>
      </c>
      <c r="AB163" s="0" t="n">
        <v>0</v>
      </c>
      <c r="AC163" s="0" t="n">
        <v>0</v>
      </c>
    </row>
    <row r="164" customFormat="false" ht="15" hidden="false" customHeight="false" outlineLevel="0" collapsed="false">
      <c r="A164" s="0" t="n">
        <v>1113</v>
      </c>
      <c r="B164" s="0" t="s">
        <v>29</v>
      </c>
      <c r="C164" s="0" t="s">
        <v>45</v>
      </c>
      <c r="D164" s="0" t="s">
        <v>54</v>
      </c>
      <c r="E164" s="0" t="s">
        <v>50</v>
      </c>
      <c r="F164" s="0" t="s">
        <v>33</v>
      </c>
      <c r="H164" s="0" t="n">
        <v>3</v>
      </c>
      <c r="I164" s="0" t="n">
        <v>3</v>
      </c>
      <c r="J164" s="0" t="n">
        <v>0</v>
      </c>
      <c r="K164" s="0" t="n">
        <v>30.85</v>
      </c>
      <c r="L164" s="0" t="n">
        <v>30.85</v>
      </c>
      <c r="M164" s="0" t="n">
        <v>0</v>
      </c>
      <c r="N164" s="0" t="n">
        <v>137839</v>
      </c>
      <c r="O164" s="0" t="n">
        <v>4</v>
      </c>
      <c r="P164" s="0" t="n">
        <v>0</v>
      </c>
      <c r="Q164" s="0" t="s">
        <v>34</v>
      </c>
      <c r="R164" s="0" t="n">
        <v>2828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Z164" s="0" t="s">
        <v>34</v>
      </c>
      <c r="AA164" s="0" t="s">
        <v>35</v>
      </c>
      <c r="AB164" s="0" t="n">
        <v>1</v>
      </c>
      <c r="AC164" s="0" t="n">
        <v>0</v>
      </c>
    </row>
    <row r="165" customFormat="false" ht="15" hidden="false" customHeight="false" outlineLevel="0" collapsed="false">
      <c r="A165" s="0" t="n">
        <v>1114</v>
      </c>
      <c r="B165" s="0" t="s">
        <v>29</v>
      </c>
      <c r="C165" s="0" t="s">
        <v>41</v>
      </c>
      <c r="D165" s="0" t="s">
        <v>54</v>
      </c>
      <c r="E165" s="0" t="s">
        <v>50</v>
      </c>
      <c r="F165" s="0" t="s">
        <v>33</v>
      </c>
      <c r="H165" s="0" t="n">
        <v>6</v>
      </c>
      <c r="I165" s="0" t="n">
        <v>6</v>
      </c>
      <c r="J165" s="0" t="n">
        <v>0</v>
      </c>
      <c r="K165" s="0" t="n">
        <v>34.07</v>
      </c>
      <c r="L165" s="0" t="n">
        <v>34.07</v>
      </c>
      <c r="M165" s="0" t="n">
        <v>0</v>
      </c>
      <c r="N165" s="0" t="n">
        <v>199940</v>
      </c>
      <c r="O165" s="0" t="n">
        <v>4</v>
      </c>
      <c r="P165" s="0" t="n">
        <v>0</v>
      </c>
      <c r="Q165" s="0" t="s">
        <v>34</v>
      </c>
      <c r="R165" s="0" t="n">
        <v>2828</v>
      </c>
      <c r="S165" s="0" t="n">
        <v>0</v>
      </c>
      <c r="T165" s="0" t="n">
        <v>0</v>
      </c>
      <c r="U165" s="0" t="n">
        <v>0</v>
      </c>
      <c r="V165" s="0" t="n">
        <v>3</v>
      </c>
      <c r="W165" s="0" t="n">
        <v>0</v>
      </c>
      <c r="X165" s="0" t="n">
        <v>4</v>
      </c>
      <c r="Y165" s="0" t="n">
        <v>9242</v>
      </c>
      <c r="Z165" s="0" t="s">
        <v>34</v>
      </c>
      <c r="AA165" s="0" t="s">
        <v>37</v>
      </c>
      <c r="AB165" s="0" t="n">
        <v>0</v>
      </c>
      <c r="AC165" s="0" t="n">
        <v>0</v>
      </c>
    </row>
    <row r="166" customFormat="false" ht="15" hidden="false" customHeight="false" outlineLevel="0" collapsed="false">
      <c r="A166" s="0" t="n">
        <v>1122</v>
      </c>
      <c r="B166" s="0" t="s">
        <v>29</v>
      </c>
      <c r="C166" s="0" t="s">
        <v>45</v>
      </c>
      <c r="D166" s="0" t="s">
        <v>31</v>
      </c>
      <c r="E166" s="0" t="s">
        <v>32</v>
      </c>
      <c r="F166" s="0" t="s">
        <v>34</v>
      </c>
      <c r="G166" s="0" t="s">
        <v>53</v>
      </c>
      <c r="H166" s="0" t="n">
        <v>4</v>
      </c>
      <c r="I166" s="0" t="n">
        <v>5</v>
      </c>
      <c r="J166" s="0" t="n">
        <v>1</v>
      </c>
      <c r="K166" s="0" t="n">
        <v>41.7</v>
      </c>
      <c r="L166" s="0" t="n">
        <v>38.19</v>
      </c>
      <c r="M166" s="0" t="n">
        <v>-3.51</v>
      </c>
      <c r="N166" s="0" t="n">
        <v>81079</v>
      </c>
      <c r="O166" s="0" t="n">
        <v>1</v>
      </c>
      <c r="P166" s="0" t="n">
        <v>0</v>
      </c>
      <c r="Q166" s="0" t="s">
        <v>33</v>
      </c>
      <c r="R166" s="0" t="n">
        <v>3336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Z166" s="0" t="s">
        <v>33</v>
      </c>
      <c r="AA166" s="0" t="s">
        <v>40</v>
      </c>
      <c r="AB166" s="0" t="n">
        <v>0</v>
      </c>
      <c r="AC166" s="0" t="n">
        <v>0</v>
      </c>
    </row>
    <row r="167" customFormat="false" ht="15" hidden="false" customHeight="false" outlineLevel="0" collapsed="false">
      <c r="A167" s="0" t="n">
        <v>1139</v>
      </c>
      <c r="B167" s="0" t="s">
        <v>29</v>
      </c>
      <c r="C167" s="0" t="s">
        <v>48</v>
      </c>
      <c r="D167" s="0" t="s">
        <v>31</v>
      </c>
      <c r="E167" s="0" t="s">
        <v>32</v>
      </c>
      <c r="F167" s="0" t="s">
        <v>34</v>
      </c>
      <c r="G167" s="0" t="s">
        <v>53</v>
      </c>
      <c r="H167" s="0" t="n">
        <v>3</v>
      </c>
      <c r="I167" s="0" t="n">
        <v>1</v>
      </c>
      <c r="J167" s="0" t="n">
        <v>-2</v>
      </c>
      <c r="K167" s="0" t="n">
        <v>65.07</v>
      </c>
      <c r="L167" s="0" t="n">
        <v>79.24</v>
      </c>
      <c r="M167" s="0" t="n">
        <v>14.17</v>
      </c>
      <c r="N167" s="0" t="n">
        <v>49901</v>
      </c>
      <c r="O167" s="0" t="n">
        <v>1</v>
      </c>
      <c r="P167" s="0" t="n">
        <v>0</v>
      </c>
      <c r="Q167" s="0" t="s">
        <v>33</v>
      </c>
      <c r="R167" s="0" t="n">
        <v>3336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2</v>
      </c>
      <c r="Y167" s="0" t="n">
        <v>3387</v>
      </c>
      <c r="Z167" s="0" t="s">
        <v>33</v>
      </c>
      <c r="AA167" s="0" t="s">
        <v>40</v>
      </c>
      <c r="AB167" s="0" t="n">
        <v>0</v>
      </c>
      <c r="AC167" s="0" t="n">
        <v>0</v>
      </c>
    </row>
    <row r="168" customFormat="false" ht="15" hidden="false" customHeight="false" outlineLevel="0" collapsed="false">
      <c r="A168" s="0" t="n">
        <v>1144</v>
      </c>
      <c r="B168" s="0" t="s">
        <v>29</v>
      </c>
      <c r="C168" s="0" t="s">
        <v>46</v>
      </c>
      <c r="D168" s="0" t="s">
        <v>31</v>
      </c>
      <c r="E168" s="0" t="s">
        <v>32</v>
      </c>
      <c r="F168" s="0" t="s">
        <v>33</v>
      </c>
      <c r="G168" s="0" t="s">
        <v>53</v>
      </c>
      <c r="H168" s="0" t="n">
        <v>6</v>
      </c>
      <c r="I168" s="0" t="n">
        <v>6</v>
      </c>
      <c r="J168" s="0" t="n">
        <v>0</v>
      </c>
      <c r="K168" s="0" t="n">
        <v>43.38</v>
      </c>
      <c r="L168" s="0" t="n">
        <v>34.05</v>
      </c>
      <c r="M168" s="0" t="n">
        <v>-9.33</v>
      </c>
      <c r="N168" s="0" t="n">
        <v>153784</v>
      </c>
      <c r="O168" s="0" t="n">
        <v>2</v>
      </c>
      <c r="P168" s="0" t="n">
        <v>0</v>
      </c>
      <c r="Q168" s="0" t="s">
        <v>33</v>
      </c>
      <c r="R168" s="0" t="n">
        <v>3336</v>
      </c>
      <c r="S168" s="0" t="n">
        <v>0</v>
      </c>
      <c r="T168" s="0" t="n">
        <v>0</v>
      </c>
      <c r="U168" s="0" t="n">
        <v>0</v>
      </c>
      <c r="V168" s="0" t="n">
        <v>3</v>
      </c>
      <c r="W168" s="0" t="n">
        <v>0</v>
      </c>
      <c r="X168" s="0" t="n">
        <v>4</v>
      </c>
      <c r="Y168" s="0" t="n">
        <v>8412</v>
      </c>
      <c r="Z168" s="0" t="s">
        <v>33</v>
      </c>
      <c r="AA168" s="0" t="s">
        <v>40</v>
      </c>
      <c r="AB168" s="0" t="n">
        <v>0</v>
      </c>
      <c r="AC168" s="0" t="n">
        <v>0</v>
      </c>
    </row>
    <row r="169" customFormat="false" ht="15" hidden="false" customHeight="false" outlineLevel="0" collapsed="false">
      <c r="A169" s="0" t="n">
        <v>1150</v>
      </c>
      <c r="B169" s="0" t="s">
        <v>36</v>
      </c>
      <c r="C169" s="0" t="s">
        <v>38</v>
      </c>
      <c r="D169" s="0" t="s">
        <v>31</v>
      </c>
      <c r="E169" s="0" t="s">
        <v>32</v>
      </c>
      <c r="F169" s="0" t="s">
        <v>34</v>
      </c>
      <c r="G169" s="0" t="s">
        <v>53</v>
      </c>
      <c r="H169" s="0" t="n">
        <v>6</v>
      </c>
      <c r="I169" s="0" t="n">
        <v>6</v>
      </c>
      <c r="J169" s="0" t="n">
        <v>0</v>
      </c>
      <c r="K169" s="0" t="n">
        <v>41.25</v>
      </c>
      <c r="L169" s="0" t="n">
        <v>41.25</v>
      </c>
      <c r="M169" s="0" t="n">
        <v>0</v>
      </c>
      <c r="N169" s="0" t="n">
        <v>63495</v>
      </c>
      <c r="O169" s="0" t="n">
        <v>1</v>
      </c>
      <c r="P169" s="0" t="n">
        <v>0</v>
      </c>
      <c r="Q169" s="0" t="s">
        <v>33</v>
      </c>
      <c r="R169" s="0" t="n">
        <v>3336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2</v>
      </c>
      <c r="Y169" s="0" t="n">
        <v>9254</v>
      </c>
      <c r="Z169" s="0" t="s">
        <v>33</v>
      </c>
      <c r="AA169" s="0" t="s">
        <v>40</v>
      </c>
      <c r="AB169" s="0" t="n">
        <v>0</v>
      </c>
      <c r="AC169" s="0" t="n">
        <v>0</v>
      </c>
    </row>
    <row r="170" customFormat="false" ht="15" hidden="false" customHeight="false" outlineLevel="0" collapsed="false">
      <c r="A170" s="0" t="n">
        <v>1153</v>
      </c>
      <c r="B170" s="0" t="s">
        <v>36</v>
      </c>
      <c r="C170" s="0" t="s">
        <v>45</v>
      </c>
      <c r="D170" s="0" t="s">
        <v>31</v>
      </c>
      <c r="E170" s="0" t="s">
        <v>32</v>
      </c>
      <c r="F170" s="0" t="s">
        <v>34</v>
      </c>
      <c r="G170" s="0" t="s">
        <v>53</v>
      </c>
      <c r="H170" s="0" t="n">
        <v>2</v>
      </c>
      <c r="I170" s="0" t="n">
        <v>2</v>
      </c>
      <c r="J170" s="0" t="n">
        <v>0</v>
      </c>
      <c r="K170" s="0" t="n">
        <v>68.39</v>
      </c>
      <c r="L170" s="0" t="n">
        <v>61.24</v>
      </c>
      <c r="M170" s="0" t="n">
        <v>-7.15</v>
      </c>
      <c r="N170" s="0" t="n">
        <v>49984</v>
      </c>
      <c r="O170" s="0" t="n">
        <v>1</v>
      </c>
      <c r="P170" s="0" t="n">
        <v>0</v>
      </c>
      <c r="Q170" s="0" t="s">
        <v>33</v>
      </c>
      <c r="R170" s="0" t="n">
        <v>3336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Z170" s="0" t="s">
        <v>34</v>
      </c>
      <c r="AA170" s="0" t="s">
        <v>37</v>
      </c>
      <c r="AB170" s="0" t="n">
        <v>0</v>
      </c>
      <c r="AC170" s="0" t="n">
        <v>0</v>
      </c>
    </row>
    <row r="171" customFormat="false" ht="15" hidden="false" customHeight="false" outlineLevel="0" collapsed="false">
      <c r="A171" s="0" t="n">
        <v>1156</v>
      </c>
      <c r="B171" s="0" t="s">
        <v>29</v>
      </c>
      <c r="C171" s="0" t="s">
        <v>30</v>
      </c>
      <c r="D171" s="0" t="s">
        <v>31</v>
      </c>
      <c r="E171" s="0" t="s">
        <v>32</v>
      </c>
      <c r="F171" s="0" t="s">
        <v>34</v>
      </c>
      <c r="G171" s="0" t="s">
        <v>53</v>
      </c>
      <c r="H171" s="0" t="n">
        <v>9</v>
      </c>
      <c r="I171" s="0" t="n">
        <v>9</v>
      </c>
      <c r="J171" s="0" t="n">
        <v>0</v>
      </c>
      <c r="K171" s="0" t="n">
        <v>34.59</v>
      </c>
      <c r="L171" s="0" t="n">
        <v>32.88</v>
      </c>
      <c r="M171" s="0" t="n">
        <v>-1.71</v>
      </c>
      <c r="N171" s="0" t="n">
        <v>121679</v>
      </c>
      <c r="O171" s="0" t="n">
        <v>1</v>
      </c>
      <c r="P171" s="0" t="n">
        <v>0</v>
      </c>
      <c r="Q171" s="0" t="s">
        <v>33</v>
      </c>
      <c r="R171" s="0" t="n">
        <v>3336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4</v>
      </c>
      <c r="Y171" s="0" t="n">
        <v>10127</v>
      </c>
      <c r="Z171" s="0" t="s">
        <v>34</v>
      </c>
      <c r="AA171" s="0" t="s">
        <v>37</v>
      </c>
      <c r="AB171" s="0" t="n">
        <v>0</v>
      </c>
      <c r="AC171" s="0" t="n">
        <v>0</v>
      </c>
    </row>
    <row r="172" customFormat="false" ht="15" hidden="false" customHeight="false" outlineLevel="0" collapsed="false">
      <c r="A172" s="0" t="n">
        <v>1161</v>
      </c>
      <c r="B172" s="0" t="s">
        <v>36</v>
      </c>
      <c r="C172" s="0" t="s">
        <v>52</v>
      </c>
      <c r="D172" s="0" t="s">
        <v>31</v>
      </c>
      <c r="E172" s="0" t="s">
        <v>32</v>
      </c>
      <c r="F172" s="0" t="s">
        <v>34</v>
      </c>
      <c r="G172" s="0" t="s">
        <v>53</v>
      </c>
      <c r="H172" s="0" t="n">
        <v>3</v>
      </c>
      <c r="I172" s="0" t="n">
        <v>3</v>
      </c>
      <c r="J172" s="0" t="n">
        <v>0</v>
      </c>
      <c r="K172" s="0" t="n">
        <v>50.23</v>
      </c>
      <c r="L172" s="0" t="n">
        <v>50.26</v>
      </c>
      <c r="M172" s="0" t="n">
        <v>0.03</v>
      </c>
      <c r="N172" s="0" t="n">
        <v>57535</v>
      </c>
      <c r="O172" s="0" t="n">
        <v>1</v>
      </c>
      <c r="P172" s="0" t="n">
        <v>0</v>
      </c>
      <c r="Q172" s="0" t="s">
        <v>33</v>
      </c>
      <c r="R172" s="0" t="n">
        <v>3336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2</v>
      </c>
      <c r="Y172" s="0" t="n">
        <v>6118</v>
      </c>
      <c r="Z172" s="0" t="s">
        <v>34</v>
      </c>
      <c r="AA172" s="0" t="s">
        <v>35</v>
      </c>
      <c r="AB172" s="0" t="n">
        <v>1</v>
      </c>
      <c r="AC172" s="0" t="n">
        <v>0</v>
      </c>
    </row>
    <row r="173" customFormat="false" ht="15" hidden="false" customHeight="false" outlineLevel="0" collapsed="false">
      <c r="A173" s="0" t="n">
        <v>1180</v>
      </c>
      <c r="B173" s="0" t="s">
        <v>29</v>
      </c>
      <c r="C173" s="0" t="s">
        <v>39</v>
      </c>
      <c r="D173" s="0" t="s">
        <v>31</v>
      </c>
      <c r="E173" s="0" t="s">
        <v>32</v>
      </c>
      <c r="F173" s="0" t="s">
        <v>33</v>
      </c>
      <c r="G173" s="0" t="s">
        <v>53</v>
      </c>
      <c r="H173" s="0" t="n">
        <v>3</v>
      </c>
      <c r="I173" s="0" t="n">
        <v>3</v>
      </c>
      <c r="J173" s="0" t="n">
        <v>0</v>
      </c>
      <c r="K173" s="0" t="n">
        <v>57.47</v>
      </c>
      <c r="L173" s="0" t="n">
        <v>45.7</v>
      </c>
      <c r="M173" s="0" t="n">
        <v>-11.77</v>
      </c>
      <c r="N173" s="0" t="n">
        <v>121037</v>
      </c>
      <c r="O173" s="0" t="n">
        <v>2</v>
      </c>
      <c r="P173" s="0" t="n">
        <v>0</v>
      </c>
      <c r="Q173" s="0" t="s">
        <v>33</v>
      </c>
      <c r="R173" s="0" t="n">
        <v>3336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1</v>
      </c>
      <c r="X173" s="0" t="n">
        <v>3</v>
      </c>
      <c r="Y173" s="0" t="n">
        <v>7341</v>
      </c>
      <c r="Z173" s="0" t="s">
        <v>33</v>
      </c>
      <c r="AA173" s="0" t="s">
        <v>40</v>
      </c>
      <c r="AB173" s="0" t="n">
        <v>0</v>
      </c>
      <c r="AC173" s="0" t="n">
        <v>0</v>
      </c>
    </row>
    <row r="174" customFormat="false" ht="15" hidden="false" customHeight="false" outlineLevel="0" collapsed="false">
      <c r="A174" s="0" t="n">
        <v>1197</v>
      </c>
      <c r="B174" s="0" t="s">
        <v>36</v>
      </c>
      <c r="C174" s="0" t="s">
        <v>52</v>
      </c>
      <c r="D174" s="0" t="s">
        <v>54</v>
      </c>
      <c r="E174" s="0" t="s">
        <v>50</v>
      </c>
      <c r="F174" s="0" t="s">
        <v>33</v>
      </c>
      <c r="H174" s="0" t="n">
        <v>9</v>
      </c>
      <c r="I174" s="0" t="n">
        <v>9</v>
      </c>
      <c r="J174" s="0" t="n">
        <v>0</v>
      </c>
      <c r="K174" s="0" t="n">
        <v>24.45</v>
      </c>
      <c r="L174" s="0" t="n">
        <v>24.45</v>
      </c>
      <c r="M174" s="0" t="n">
        <v>0</v>
      </c>
      <c r="N174" s="0" t="n">
        <v>212463</v>
      </c>
      <c r="O174" s="0" t="n">
        <v>4</v>
      </c>
      <c r="P174" s="0" t="n">
        <v>0</v>
      </c>
      <c r="Q174" s="0" t="s">
        <v>34</v>
      </c>
      <c r="R174" s="0" t="n">
        <v>2828</v>
      </c>
      <c r="S174" s="0" t="n">
        <v>0</v>
      </c>
      <c r="T174" s="0" t="n">
        <v>0</v>
      </c>
      <c r="U174" s="0" t="n">
        <v>0</v>
      </c>
      <c r="V174" s="0" t="n">
        <v>3</v>
      </c>
      <c r="W174" s="0" t="n">
        <v>0</v>
      </c>
      <c r="X174" s="0" t="n">
        <v>2</v>
      </c>
      <c r="Y174" s="0" t="n">
        <v>13402</v>
      </c>
      <c r="Z174" s="0" t="s">
        <v>34</v>
      </c>
      <c r="AA174" s="0" t="s">
        <v>37</v>
      </c>
      <c r="AB174" s="0" t="n">
        <v>0</v>
      </c>
      <c r="AC174" s="0" t="n">
        <v>0</v>
      </c>
    </row>
    <row r="175" customFormat="false" ht="15" hidden="false" customHeight="false" outlineLevel="0" collapsed="false">
      <c r="A175" s="0" t="n">
        <v>1227</v>
      </c>
      <c r="B175" s="0" t="s">
        <v>29</v>
      </c>
      <c r="C175" s="0" t="s">
        <v>41</v>
      </c>
      <c r="D175" s="0" t="s">
        <v>54</v>
      </c>
      <c r="E175" s="0" t="s">
        <v>50</v>
      </c>
      <c r="F175" s="0" t="s">
        <v>33</v>
      </c>
      <c r="H175" s="0" t="n">
        <v>4</v>
      </c>
      <c r="I175" s="0" t="n">
        <v>4</v>
      </c>
      <c r="J175" s="0" t="n">
        <v>0</v>
      </c>
      <c r="K175" s="0" t="n">
        <v>52.1</v>
      </c>
      <c r="L175" s="0" t="n">
        <v>52.1</v>
      </c>
      <c r="M175" s="0" t="n">
        <v>0</v>
      </c>
      <c r="N175" s="0" t="n">
        <v>121280</v>
      </c>
      <c r="O175" s="0" t="n">
        <v>4</v>
      </c>
      <c r="P175" s="0" t="n">
        <v>0</v>
      </c>
      <c r="Q175" s="0" t="s">
        <v>34</v>
      </c>
      <c r="R175" s="0" t="n">
        <v>2828</v>
      </c>
      <c r="S175" s="0" t="n">
        <v>0</v>
      </c>
      <c r="T175" s="0" t="n">
        <v>0</v>
      </c>
      <c r="U175" s="0" t="n">
        <v>0</v>
      </c>
      <c r="V175" s="0" t="n">
        <v>3</v>
      </c>
      <c r="W175" s="0" t="n">
        <v>0</v>
      </c>
      <c r="X175" s="0" t="n">
        <v>4</v>
      </c>
      <c r="Y175" s="0" t="n">
        <v>5982</v>
      </c>
      <c r="Z175" s="0" t="s">
        <v>34</v>
      </c>
      <c r="AA175" s="0" t="s">
        <v>37</v>
      </c>
      <c r="AB175" s="0" t="n">
        <v>0</v>
      </c>
      <c r="AC175" s="0" t="n">
        <v>0</v>
      </c>
    </row>
    <row r="176" customFormat="false" ht="15" hidden="false" customHeight="false" outlineLevel="0" collapsed="false">
      <c r="A176" s="0" t="n">
        <v>1263</v>
      </c>
      <c r="B176" s="0" t="s">
        <v>42</v>
      </c>
      <c r="C176" s="0" t="s">
        <v>43</v>
      </c>
      <c r="D176" s="0" t="s">
        <v>31</v>
      </c>
      <c r="E176" s="0" t="s">
        <v>32</v>
      </c>
      <c r="F176" s="0" t="s">
        <v>34</v>
      </c>
      <c r="G176" s="0" t="s">
        <v>53</v>
      </c>
      <c r="H176" s="0" t="n">
        <v>11</v>
      </c>
      <c r="I176" s="0" t="n">
        <v>8</v>
      </c>
      <c r="J176" s="0" t="n">
        <v>-3</v>
      </c>
      <c r="K176" s="0" t="n">
        <v>23.5</v>
      </c>
      <c r="L176" s="0" t="n">
        <v>39.93</v>
      </c>
      <c r="M176" s="0" t="n">
        <v>16.43</v>
      </c>
      <c r="N176" s="0" t="n">
        <v>152499</v>
      </c>
      <c r="O176" s="0" t="n">
        <v>1</v>
      </c>
      <c r="P176" s="0" t="n">
        <v>0</v>
      </c>
      <c r="Q176" s="0" t="s">
        <v>33</v>
      </c>
      <c r="R176" s="0" t="n">
        <v>3336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4</v>
      </c>
      <c r="Y176" s="0" t="n">
        <v>13578</v>
      </c>
      <c r="Z176" s="0" t="s">
        <v>33</v>
      </c>
      <c r="AA176" s="0" t="s">
        <v>40</v>
      </c>
      <c r="AB176" s="0" t="n">
        <v>0</v>
      </c>
      <c r="AC176" s="0" t="n">
        <v>0</v>
      </c>
    </row>
    <row r="177" customFormat="false" ht="15" hidden="false" customHeight="false" outlineLevel="0" collapsed="false">
      <c r="A177" s="0" t="n">
        <v>1265</v>
      </c>
      <c r="B177" s="0" t="s">
        <v>29</v>
      </c>
      <c r="C177" s="0" t="s">
        <v>45</v>
      </c>
      <c r="D177" s="0" t="s">
        <v>54</v>
      </c>
      <c r="E177" s="0" t="s">
        <v>50</v>
      </c>
      <c r="F177" s="0" t="s">
        <v>33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149867</v>
      </c>
      <c r="O177" s="0" t="n">
        <v>4</v>
      </c>
      <c r="P177" s="0" t="n">
        <v>0</v>
      </c>
      <c r="Q177" s="0" t="s">
        <v>34</v>
      </c>
      <c r="R177" s="0" t="n">
        <v>2828</v>
      </c>
      <c r="S177" s="0" t="n">
        <v>3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Z177" s="0" t="s">
        <v>33</v>
      </c>
      <c r="AA177" s="0" t="s">
        <v>40</v>
      </c>
      <c r="AB177" s="0" t="n">
        <v>0</v>
      </c>
      <c r="AC177" s="0" t="n">
        <v>0</v>
      </c>
    </row>
    <row r="178" customFormat="false" ht="15" hidden="false" customHeight="false" outlineLevel="0" collapsed="false">
      <c r="A178" s="0" t="n">
        <v>1267</v>
      </c>
      <c r="B178" s="0" t="s">
        <v>42</v>
      </c>
      <c r="C178" s="0" t="s">
        <v>51</v>
      </c>
      <c r="D178" s="0" t="s">
        <v>54</v>
      </c>
      <c r="E178" s="0" t="s">
        <v>50</v>
      </c>
      <c r="F178" s="0" t="s">
        <v>33</v>
      </c>
      <c r="H178" s="0" t="n">
        <v>5</v>
      </c>
      <c r="I178" s="0" t="n">
        <v>5</v>
      </c>
      <c r="J178" s="0" t="n">
        <v>0</v>
      </c>
      <c r="K178" s="0" t="n">
        <v>63.16</v>
      </c>
      <c r="L178" s="0" t="n">
        <v>63.16</v>
      </c>
      <c r="M178" s="0" t="n">
        <v>0</v>
      </c>
      <c r="N178" s="0" t="n">
        <v>79206</v>
      </c>
      <c r="O178" s="0" t="n">
        <v>4</v>
      </c>
      <c r="P178" s="0" t="n">
        <v>0</v>
      </c>
      <c r="Q178" s="0" t="s">
        <v>34</v>
      </c>
      <c r="R178" s="0" t="n">
        <v>2828</v>
      </c>
      <c r="S178" s="0" t="n">
        <v>0</v>
      </c>
      <c r="T178" s="0" t="n">
        <v>0</v>
      </c>
      <c r="U178" s="0" t="n">
        <v>0</v>
      </c>
      <c r="V178" s="0" t="n">
        <v>3</v>
      </c>
      <c r="W178" s="0" t="n">
        <v>0</v>
      </c>
      <c r="X178" s="0" t="n">
        <v>0</v>
      </c>
      <c r="Z178" s="0" t="s">
        <v>34</v>
      </c>
      <c r="AA178" s="0" t="s">
        <v>37</v>
      </c>
      <c r="AB178" s="0" t="n">
        <v>0</v>
      </c>
      <c r="AC178" s="0" t="n">
        <v>0</v>
      </c>
    </row>
    <row r="179" customFormat="false" ht="15" hidden="false" customHeight="false" outlineLevel="0" collapsed="false">
      <c r="A179" s="0" t="n">
        <v>1269</v>
      </c>
      <c r="B179" s="0" t="s">
        <v>36</v>
      </c>
      <c r="C179" s="0" t="s">
        <v>46</v>
      </c>
      <c r="D179" s="0" t="s">
        <v>54</v>
      </c>
      <c r="E179" s="0" t="s">
        <v>50</v>
      </c>
      <c r="F179" s="0" t="s">
        <v>33</v>
      </c>
      <c r="H179" s="0" t="n">
        <v>3</v>
      </c>
      <c r="I179" s="0" t="n">
        <v>3</v>
      </c>
      <c r="J179" s="0" t="n">
        <v>0</v>
      </c>
      <c r="K179" s="0" t="n">
        <v>63.59</v>
      </c>
      <c r="L179" s="0" t="n">
        <v>63.59</v>
      </c>
      <c r="M179" s="0" t="n">
        <v>0</v>
      </c>
      <c r="N179" s="0" t="n">
        <v>136312</v>
      </c>
      <c r="O179" s="0" t="n">
        <v>4</v>
      </c>
      <c r="P179" s="0" t="n">
        <v>0</v>
      </c>
      <c r="Q179" s="0" t="s">
        <v>34</v>
      </c>
      <c r="R179" s="0" t="n">
        <v>2828</v>
      </c>
      <c r="S179" s="0" t="n">
        <v>0</v>
      </c>
      <c r="T179" s="0" t="n">
        <v>0</v>
      </c>
      <c r="U179" s="0" t="n">
        <v>0</v>
      </c>
      <c r="V179" s="0" t="n">
        <v>3</v>
      </c>
      <c r="W179" s="0" t="n">
        <v>0</v>
      </c>
      <c r="X179" s="0" t="n">
        <v>4</v>
      </c>
      <c r="Y179" s="0" t="n">
        <v>4970</v>
      </c>
      <c r="Z179" s="0" t="s">
        <v>33</v>
      </c>
      <c r="AA179" s="0" t="s">
        <v>40</v>
      </c>
      <c r="AB179" s="0" t="n">
        <v>0</v>
      </c>
      <c r="AC179" s="0" t="n">
        <v>0</v>
      </c>
    </row>
    <row r="180" customFormat="false" ht="15" hidden="false" customHeight="false" outlineLevel="0" collapsed="false">
      <c r="A180" s="0" t="n">
        <v>1283</v>
      </c>
      <c r="B180" s="0" t="s">
        <v>36</v>
      </c>
      <c r="C180" s="0" t="s">
        <v>47</v>
      </c>
      <c r="D180" s="0" t="s">
        <v>31</v>
      </c>
      <c r="E180" s="0" t="s">
        <v>32</v>
      </c>
      <c r="F180" s="0" t="s">
        <v>33</v>
      </c>
      <c r="G180" s="0" t="s">
        <v>53</v>
      </c>
      <c r="H180" s="0" t="n">
        <v>6</v>
      </c>
      <c r="I180" s="0" t="n">
        <v>4</v>
      </c>
      <c r="J180" s="0" t="n">
        <v>-2</v>
      </c>
      <c r="K180" s="0" t="n">
        <v>48.86</v>
      </c>
      <c r="L180" s="0" t="n">
        <v>55.69</v>
      </c>
      <c r="M180" s="0" t="n">
        <v>6.83</v>
      </c>
      <c r="N180" s="0" t="n">
        <v>135030</v>
      </c>
      <c r="O180" s="0" t="n">
        <v>3</v>
      </c>
      <c r="P180" s="0" t="n">
        <v>0</v>
      </c>
      <c r="Q180" s="0" t="s">
        <v>33</v>
      </c>
      <c r="R180" s="0" t="n">
        <v>3336</v>
      </c>
      <c r="S180" s="0" t="n">
        <v>0</v>
      </c>
      <c r="T180" s="0" t="n">
        <v>0</v>
      </c>
      <c r="U180" s="0" t="n">
        <v>0</v>
      </c>
      <c r="V180" s="0" t="n">
        <v>3</v>
      </c>
      <c r="W180" s="0" t="n">
        <v>0</v>
      </c>
      <c r="X180" s="0" t="n">
        <v>0</v>
      </c>
      <c r="Z180" s="0" t="s">
        <v>33</v>
      </c>
      <c r="AA180" s="0" t="s">
        <v>40</v>
      </c>
      <c r="AB180" s="0" t="n">
        <v>0</v>
      </c>
      <c r="AC180" s="0" t="n">
        <v>0</v>
      </c>
    </row>
    <row r="181" customFormat="false" ht="15" hidden="false" customHeight="false" outlineLevel="0" collapsed="false">
      <c r="A181" s="0" t="n">
        <v>1290</v>
      </c>
      <c r="B181" s="0" t="s">
        <v>29</v>
      </c>
      <c r="C181" s="0" t="s">
        <v>45</v>
      </c>
      <c r="D181" s="0" t="s">
        <v>54</v>
      </c>
      <c r="E181" s="0" t="s">
        <v>50</v>
      </c>
      <c r="F181" s="0" t="s">
        <v>33</v>
      </c>
      <c r="H181" s="0" t="n">
        <v>5</v>
      </c>
      <c r="I181" s="0" t="n">
        <v>5</v>
      </c>
      <c r="J181" s="0" t="n">
        <v>0</v>
      </c>
      <c r="K181" s="0" t="n">
        <v>44.27</v>
      </c>
      <c r="L181" s="0" t="n">
        <v>44.27</v>
      </c>
      <c r="M181" s="0" t="n">
        <v>0</v>
      </c>
      <c r="N181" s="0" t="n">
        <v>340711</v>
      </c>
      <c r="O181" s="0" t="n">
        <v>4</v>
      </c>
      <c r="P181" s="0" t="n">
        <v>0</v>
      </c>
      <c r="Q181" s="0" t="s">
        <v>34</v>
      </c>
      <c r="R181" s="0" t="n">
        <v>2828</v>
      </c>
      <c r="S181" s="0" t="n">
        <v>0</v>
      </c>
      <c r="T181" s="0" t="n">
        <v>0</v>
      </c>
      <c r="U181" s="0" t="n">
        <v>3</v>
      </c>
      <c r="V181" s="0" t="n">
        <v>0</v>
      </c>
      <c r="W181" s="0" t="n">
        <v>0</v>
      </c>
      <c r="X181" s="0" t="n">
        <v>0</v>
      </c>
      <c r="Z181" s="0" t="s">
        <v>34</v>
      </c>
      <c r="AA181" s="0" t="s">
        <v>37</v>
      </c>
      <c r="AB181" s="0" t="n">
        <v>0</v>
      </c>
      <c r="AC181" s="0" t="n">
        <v>0</v>
      </c>
    </row>
    <row r="182" customFormat="false" ht="15" hidden="false" customHeight="false" outlineLevel="0" collapsed="false">
      <c r="A182" s="0" t="n">
        <v>1292</v>
      </c>
      <c r="B182" s="0" t="s">
        <v>42</v>
      </c>
      <c r="C182" s="0" t="s">
        <v>30</v>
      </c>
      <c r="D182" s="0" t="s">
        <v>31</v>
      </c>
      <c r="E182" s="0" t="s">
        <v>32</v>
      </c>
      <c r="F182" s="0" t="s">
        <v>34</v>
      </c>
      <c r="G182" s="0" t="s">
        <v>53</v>
      </c>
      <c r="H182" s="0" t="n">
        <v>7</v>
      </c>
      <c r="I182" s="0" t="n">
        <v>7</v>
      </c>
      <c r="J182" s="0" t="n">
        <v>0</v>
      </c>
      <c r="K182" s="0" t="n">
        <v>46.69</v>
      </c>
      <c r="L182" s="0" t="n">
        <v>48.63</v>
      </c>
      <c r="M182" s="0" t="n">
        <v>1.94</v>
      </c>
      <c r="N182" s="0" t="n">
        <v>130854</v>
      </c>
      <c r="O182" s="0" t="n">
        <v>1</v>
      </c>
      <c r="P182" s="0" t="n">
        <v>0</v>
      </c>
      <c r="Q182" s="0" t="s">
        <v>33</v>
      </c>
      <c r="R182" s="0" t="n">
        <v>3336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4</v>
      </c>
      <c r="Y182" s="0" t="n">
        <v>7490</v>
      </c>
      <c r="Z182" s="0" t="s">
        <v>34</v>
      </c>
      <c r="AA182" s="0" t="s">
        <v>37</v>
      </c>
      <c r="AB182" s="0" t="n">
        <v>0</v>
      </c>
      <c r="AC182" s="0" t="n">
        <v>0</v>
      </c>
    </row>
    <row r="183" customFormat="false" ht="15" hidden="false" customHeight="false" outlineLevel="0" collapsed="false">
      <c r="A183" s="0" t="n">
        <v>1311</v>
      </c>
      <c r="B183" s="0" t="s">
        <v>29</v>
      </c>
      <c r="C183" s="0" t="s">
        <v>46</v>
      </c>
      <c r="D183" s="0" t="s">
        <v>54</v>
      </c>
      <c r="E183" s="0" t="s">
        <v>50</v>
      </c>
      <c r="F183" s="0" t="s">
        <v>33</v>
      </c>
      <c r="H183" s="0" t="n">
        <v>9</v>
      </c>
      <c r="I183" s="0" t="n">
        <v>9</v>
      </c>
      <c r="J183" s="0" t="n">
        <v>0</v>
      </c>
      <c r="K183" s="0" t="n">
        <v>43.02</v>
      </c>
      <c r="L183" s="0" t="n">
        <v>43.02</v>
      </c>
      <c r="M183" s="0" t="n">
        <v>0</v>
      </c>
      <c r="N183" s="0" t="n">
        <v>210466</v>
      </c>
      <c r="O183" s="0" t="n">
        <v>4</v>
      </c>
      <c r="P183" s="0" t="n">
        <v>0</v>
      </c>
      <c r="Q183" s="0" t="s">
        <v>34</v>
      </c>
      <c r="R183" s="0" t="n">
        <v>2828</v>
      </c>
      <c r="S183" s="0" t="n">
        <v>0</v>
      </c>
      <c r="T183" s="0" t="n">
        <v>0</v>
      </c>
      <c r="U183" s="0" t="n">
        <v>0</v>
      </c>
      <c r="V183" s="0" t="n">
        <v>3</v>
      </c>
      <c r="W183" s="0" t="n">
        <v>0</v>
      </c>
      <c r="X183" s="0" t="n">
        <v>2</v>
      </c>
      <c r="Y183" s="0" t="n">
        <v>10850</v>
      </c>
      <c r="Z183" s="0" t="s">
        <v>34</v>
      </c>
      <c r="AA183" s="0" t="s">
        <v>37</v>
      </c>
      <c r="AB183" s="0" t="n">
        <v>0</v>
      </c>
      <c r="AC183" s="0" t="n">
        <v>0</v>
      </c>
    </row>
    <row r="184" customFormat="false" ht="15" hidden="false" customHeight="false" outlineLevel="0" collapsed="false">
      <c r="A184" s="0" t="n">
        <v>1331</v>
      </c>
      <c r="B184" s="0" t="s">
        <v>29</v>
      </c>
      <c r="C184" s="0" t="s">
        <v>41</v>
      </c>
      <c r="D184" s="0" t="s">
        <v>54</v>
      </c>
      <c r="E184" s="0" t="s">
        <v>50</v>
      </c>
      <c r="F184" s="0" t="s">
        <v>33</v>
      </c>
      <c r="H184" s="0" t="n">
        <v>8</v>
      </c>
      <c r="I184" s="0" t="n">
        <v>8</v>
      </c>
      <c r="J184" s="0" t="n">
        <v>0</v>
      </c>
      <c r="K184" s="0" t="n">
        <v>44.84</v>
      </c>
      <c r="L184" s="0" t="n">
        <v>44.84</v>
      </c>
      <c r="M184" s="0" t="n">
        <v>0</v>
      </c>
      <c r="N184" s="0" t="n">
        <v>144349</v>
      </c>
      <c r="O184" s="0" t="n">
        <v>4</v>
      </c>
      <c r="P184" s="0" t="n">
        <v>0</v>
      </c>
      <c r="Q184" s="0" t="s">
        <v>34</v>
      </c>
      <c r="R184" s="0" t="n">
        <v>2828</v>
      </c>
      <c r="S184" s="0" t="n">
        <v>0</v>
      </c>
      <c r="T184" s="0" t="n">
        <v>0</v>
      </c>
      <c r="U184" s="0" t="n">
        <v>0</v>
      </c>
      <c r="V184" s="0" t="n">
        <v>3</v>
      </c>
      <c r="W184" s="0" t="n">
        <v>0</v>
      </c>
      <c r="X184" s="0" t="n">
        <v>2</v>
      </c>
      <c r="Y184" s="0" t="n">
        <v>8336</v>
      </c>
      <c r="Z184" s="0" t="s">
        <v>34</v>
      </c>
      <c r="AA184" s="0" t="s">
        <v>37</v>
      </c>
      <c r="AB184" s="0" t="n">
        <v>0</v>
      </c>
      <c r="AC184" s="0" t="n">
        <v>0</v>
      </c>
    </row>
    <row r="185" customFormat="false" ht="15" hidden="false" customHeight="false" outlineLevel="0" collapsed="false">
      <c r="A185" s="0" t="n">
        <v>1343</v>
      </c>
      <c r="B185" s="0" t="s">
        <v>42</v>
      </c>
      <c r="C185" s="0" t="s">
        <v>45</v>
      </c>
      <c r="D185" s="0" t="s">
        <v>31</v>
      </c>
      <c r="E185" s="0" t="s">
        <v>32</v>
      </c>
      <c r="F185" s="0" t="s">
        <v>34</v>
      </c>
      <c r="G185" s="0" t="s">
        <v>53</v>
      </c>
      <c r="H185" s="0" t="n">
        <v>6</v>
      </c>
      <c r="I185" s="0" t="n">
        <v>10</v>
      </c>
      <c r="J185" s="0" t="n">
        <v>4</v>
      </c>
      <c r="K185" s="0" t="n">
        <v>35.78</v>
      </c>
      <c r="L185" s="0" t="n">
        <v>22.46</v>
      </c>
      <c r="M185" s="0" t="n">
        <v>-13.32</v>
      </c>
      <c r="N185" s="0" t="n">
        <v>96655</v>
      </c>
      <c r="O185" s="0" t="n">
        <v>1</v>
      </c>
      <c r="P185" s="0" t="n">
        <v>0</v>
      </c>
      <c r="Q185" s="0" t="s">
        <v>33</v>
      </c>
      <c r="R185" s="0" t="n">
        <v>3336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Z185" s="0" t="s">
        <v>34</v>
      </c>
      <c r="AA185" s="0" t="s">
        <v>37</v>
      </c>
      <c r="AB185" s="0" t="n">
        <v>0</v>
      </c>
      <c r="AC185" s="0" t="n">
        <v>0</v>
      </c>
    </row>
    <row r="186" customFormat="false" ht="15" hidden="false" customHeight="false" outlineLevel="0" collapsed="false">
      <c r="A186" s="0" t="n">
        <v>1348</v>
      </c>
      <c r="B186" s="0" t="s">
        <v>29</v>
      </c>
      <c r="C186" s="0" t="s">
        <v>41</v>
      </c>
      <c r="D186" s="0" t="s">
        <v>54</v>
      </c>
      <c r="E186" s="0" t="s">
        <v>50</v>
      </c>
      <c r="F186" s="0" t="s">
        <v>33</v>
      </c>
      <c r="H186" s="0" t="n">
        <v>5</v>
      </c>
      <c r="I186" s="0" t="n">
        <v>5</v>
      </c>
      <c r="J186" s="0" t="n">
        <v>0</v>
      </c>
      <c r="K186" s="0" t="n">
        <v>57.3</v>
      </c>
      <c r="L186" s="0" t="n">
        <v>57.3</v>
      </c>
      <c r="M186" s="0" t="n">
        <v>0</v>
      </c>
      <c r="N186" s="0" t="n">
        <v>148350</v>
      </c>
      <c r="O186" s="0" t="n">
        <v>4</v>
      </c>
      <c r="P186" s="0" t="n">
        <v>0</v>
      </c>
      <c r="Q186" s="0" t="s">
        <v>34</v>
      </c>
      <c r="R186" s="0" t="n">
        <v>2828</v>
      </c>
      <c r="S186" s="0" t="n">
        <v>0</v>
      </c>
      <c r="T186" s="0" t="n">
        <v>1</v>
      </c>
      <c r="U186" s="0" t="n">
        <v>0</v>
      </c>
      <c r="V186" s="0" t="n">
        <v>2</v>
      </c>
      <c r="W186" s="0" t="n">
        <v>0</v>
      </c>
      <c r="X186" s="0" t="n">
        <v>6</v>
      </c>
      <c r="Y186" s="0" t="n">
        <v>6397</v>
      </c>
      <c r="Z186" s="0" t="s">
        <v>34</v>
      </c>
      <c r="AA186" s="0" t="s">
        <v>37</v>
      </c>
      <c r="AB186" s="0" t="n">
        <v>0</v>
      </c>
      <c r="AC186" s="0" t="n">
        <v>0</v>
      </c>
    </row>
    <row r="187" customFormat="false" ht="15" hidden="false" customHeight="false" outlineLevel="0" collapsed="false">
      <c r="A187" s="0" t="n">
        <v>1357</v>
      </c>
      <c r="B187" s="0" t="s">
        <v>42</v>
      </c>
      <c r="C187" s="0" t="s">
        <v>39</v>
      </c>
      <c r="D187" s="0" t="s">
        <v>31</v>
      </c>
      <c r="E187" s="0" t="s">
        <v>32</v>
      </c>
      <c r="F187" s="0" t="s">
        <v>34</v>
      </c>
      <c r="G187" s="0" t="s">
        <v>53</v>
      </c>
      <c r="H187" s="0" t="n">
        <v>3</v>
      </c>
      <c r="I187" s="0" t="n">
        <v>3</v>
      </c>
      <c r="J187" s="0" t="n">
        <v>0</v>
      </c>
      <c r="K187" s="0" t="n">
        <v>75.88</v>
      </c>
      <c r="L187" s="0" t="n">
        <v>68.77</v>
      </c>
      <c r="M187" s="0" t="n">
        <v>-7.11</v>
      </c>
      <c r="N187" s="0" t="n">
        <v>58254</v>
      </c>
      <c r="O187" s="0" t="n">
        <v>1</v>
      </c>
      <c r="P187" s="0" t="n">
        <v>0</v>
      </c>
      <c r="Q187" s="0" t="s">
        <v>33</v>
      </c>
      <c r="R187" s="0" t="n">
        <v>3336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4</v>
      </c>
      <c r="Y187" s="0" t="n">
        <v>3512</v>
      </c>
      <c r="Z187" s="0" t="s">
        <v>34</v>
      </c>
      <c r="AA187" s="0" t="s">
        <v>37</v>
      </c>
      <c r="AB187" s="0" t="n">
        <v>0</v>
      </c>
      <c r="AC187" s="0" t="n">
        <v>0</v>
      </c>
    </row>
    <row r="188" customFormat="false" ht="15" hidden="false" customHeight="false" outlineLevel="0" collapsed="false">
      <c r="A188" s="0" t="n">
        <v>1367</v>
      </c>
      <c r="B188" s="0" t="s">
        <v>29</v>
      </c>
      <c r="C188" s="0" t="s">
        <v>41</v>
      </c>
      <c r="D188" s="0" t="s">
        <v>54</v>
      </c>
      <c r="E188" s="0" t="s">
        <v>50</v>
      </c>
      <c r="F188" s="0" t="s">
        <v>33</v>
      </c>
      <c r="H188" s="0" t="n">
        <v>6</v>
      </c>
      <c r="I188" s="0" t="n">
        <v>6</v>
      </c>
      <c r="J188" s="0" t="n">
        <v>0</v>
      </c>
      <c r="K188" s="0" t="n">
        <v>46.4</v>
      </c>
      <c r="L188" s="0" t="n">
        <v>46.4</v>
      </c>
      <c r="M188" s="0" t="n">
        <v>0</v>
      </c>
      <c r="N188" s="0" t="n">
        <v>118300</v>
      </c>
      <c r="O188" s="0" t="n">
        <v>4</v>
      </c>
      <c r="P188" s="0" t="n">
        <v>0</v>
      </c>
      <c r="Q188" s="0" t="s">
        <v>34</v>
      </c>
      <c r="R188" s="0" t="n">
        <v>2828</v>
      </c>
      <c r="S188" s="0" t="n">
        <v>0</v>
      </c>
      <c r="T188" s="0" t="n">
        <v>1</v>
      </c>
      <c r="U188" s="0" t="n">
        <v>0</v>
      </c>
      <c r="V188" s="0" t="n">
        <v>2</v>
      </c>
      <c r="W188" s="0" t="n">
        <v>0</v>
      </c>
      <c r="X188" s="0" t="n">
        <v>0</v>
      </c>
      <c r="Z188" s="0" t="s">
        <v>34</v>
      </c>
      <c r="AA188" s="0" t="s">
        <v>37</v>
      </c>
      <c r="AB188" s="0" t="n">
        <v>0</v>
      </c>
      <c r="AC188" s="0" t="n">
        <v>0</v>
      </c>
    </row>
    <row r="189" customFormat="false" ht="15" hidden="false" customHeight="false" outlineLevel="0" collapsed="false">
      <c r="A189" s="0" t="n">
        <v>1382</v>
      </c>
      <c r="B189" s="0" t="s">
        <v>36</v>
      </c>
      <c r="C189" s="0" t="s">
        <v>46</v>
      </c>
      <c r="D189" s="0" t="s">
        <v>54</v>
      </c>
      <c r="E189" s="0" t="s">
        <v>50</v>
      </c>
      <c r="F189" s="0" t="s">
        <v>33</v>
      </c>
      <c r="H189" s="0" t="n">
        <v>4</v>
      </c>
      <c r="I189" s="0" t="n">
        <v>4</v>
      </c>
      <c r="J189" s="0" t="n">
        <v>0</v>
      </c>
      <c r="K189" s="0" t="n">
        <v>56.22</v>
      </c>
      <c r="L189" s="0" t="n">
        <v>56.22</v>
      </c>
      <c r="M189" s="0" t="n">
        <v>0</v>
      </c>
      <c r="N189" s="0" t="n">
        <v>183916</v>
      </c>
      <c r="O189" s="0" t="n">
        <v>4</v>
      </c>
      <c r="P189" s="0" t="n">
        <v>0</v>
      </c>
      <c r="Q189" s="0" t="s">
        <v>34</v>
      </c>
      <c r="R189" s="0" t="n">
        <v>2828</v>
      </c>
      <c r="S189" s="0" t="n">
        <v>0</v>
      </c>
      <c r="T189" s="0" t="n">
        <v>0</v>
      </c>
      <c r="U189" s="0" t="n">
        <v>0</v>
      </c>
      <c r="V189" s="0" t="n">
        <v>3</v>
      </c>
      <c r="W189" s="0" t="n">
        <v>0</v>
      </c>
      <c r="X189" s="0" t="n">
        <v>4</v>
      </c>
      <c r="Y189" s="0" t="n">
        <v>10742</v>
      </c>
      <c r="Z189" s="0" t="s">
        <v>33</v>
      </c>
      <c r="AA189" s="0" t="s">
        <v>40</v>
      </c>
      <c r="AB189" s="0" t="n">
        <v>0</v>
      </c>
      <c r="AC189" s="0" t="n">
        <v>0</v>
      </c>
    </row>
    <row r="190" customFormat="false" ht="15" hidden="false" customHeight="false" outlineLevel="0" collapsed="false">
      <c r="A190" s="0" t="n">
        <v>1404</v>
      </c>
      <c r="B190" s="0" t="s">
        <v>29</v>
      </c>
      <c r="C190" s="0" t="s">
        <v>48</v>
      </c>
      <c r="D190" s="0" t="s">
        <v>31</v>
      </c>
      <c r="E190" s="0" t="s">
        <v>32</v>
      </c>
      <c r="F190" s="0" t="s">
        <v>34</v>
      </c>
      <c r="G190" s="0" t="s">
        <v>53</v>
      </c>
      <c r="H190" s="0" t="n">
        <v>3</v>
      </c>
      <c r="I190" s="0" t="n">
        <v>1</v>
      </c>
      <c r="J190" s="0" t="n">
        <v>-2</v>
      </c>
      <c r="K190" s="0" t="n">
        <v>57.06</v>
      </c>
      <c r="L190" s="0" t="n">
        <v>47.78</v>
      </c>
      <c r="M190" s="0" t="n">
        <v>-9.28</v>
      </c>
      <c r="N190" s="0" t="n">
        <v>51159</v>
      </c>
      <c r="O190" s="0" t="n">
        <v>1</v>
      </c>
      <c r="P190" s="0" t="n">
        <v>0</v>
      </c>
      <c r="Q190" s="0" t="s">
        <v>33</v>
      </c>
      <c r="R190" s="0" t="n">
        <v>3336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Z190" s="0" t="s">
        <v>33</v>
      </c>
      <c r="AA190" s="0" t="s">
        <v>40</v>
      </c>
      <c r="AB190" s="0" t="n">
        <v>0</v>
      </c>
      <c r="AC190" s="0" t="n">
        <v>0</v>
      </c>
    </row>
    <row r="191" customFormat="false" ht="15" hidden="false" customHeight="false" outlineLevel="0" collapsed="false">
      <c r="A191" s="0" t="n">
        <v>1420</v>
      </c>
      <c r="B191" s="0" t="s">
        <v>29</v>
      </c>
      <c r="C191" s="0" t="s">
        <v>38</v>
      </c>
      <c r="D191" s="0" t="s">
        <v>31</v>
      </c>
      <c r="E191" s="0" t="s">
        <v>32</v>
      </c>
      <c r="F191" s="0" t="s">
        <v>34</v>
      </c>
      <c r="G191" s="0" t="s">
        <v>53</v>
      </c>
      <c r="H191" s="0" t="n">
        <v>5</v>
      </c>
      <c r="I191" s="0" t="n">
        <v>5</v>
      </c>
      <c r="J191" s="0" t="n">
        <v>0</v>
      </c>
      <c r="K191" s="0" t="n">
        <v>55.14</v>
      </c>
      <c r="L191" s="0" t="n">
        <v>55.14</v>
      </c>
      <c r="M191" s="0" t="n">
        <v>0</v>
      </c>
      <c r="N191" s="0" t="n">
        <v>41036</v>
      </c>
      <c r="O191" s="0" t="n">
        <v>1</v>
      </c>
      <c r="P191" s="0" t="n">
        <v>0</v>
      </c>
      <c r="Q191" s="0" t="s">
        <v>33</v>
      </c>
      <c r="R191" s="0" t="n">
        <v>3336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2</v>
      </c>
      <c r="Y191" s="0" t="n">
        <v>5518</v>
      </c>
      <c r="Z191" s="0" t="s">
        <v>33</v>
      </c>
      <c r="AA191" s="0" t="s">
        <v>40</v>
      </c>
      <c r="AB191" s="0" t="n">
        <v>0</v>
      </c>
      <c r="AC191" s="0" t="n">
        <v>0</v>
      </c>
    </row>
    <row r="192" customFormat="false" ht="15" hidden="false" customHeight="false" outlineLevel="0" collapsed="false">
      <c r="A192" s="0" t="n">
        <v>1440</v>
      </c>
      <c r="B192" s="0" t="s">
        <v>42</v>
      </c>
      <c r="C192" s="0" t="s">
        <v>47</v>
      </c>
      <c r="D192" s="0" t="s">
        <v>31</v>
      </c>
      <c r="E192" s="0" t="s">
        <v>32</v>
      </c>
      <c r="F192" s="0" t="s">
        <v>34</v>
      </c>
      <c r="G192" s="0" t="s">
        <v>53</v>
      </c>
      <c r="H192" s="0" t="n">
        <v>2</v>
      </c>
      <c r="I192" s="0" t="n">
        <v>1</v>
      </c>
      <c r="J192" s="0" t="n">
        <v>-1</v>
      </c>
      <c r="K192" s="0" t="n">
        <v>64.51</v>
      </c>
      <c r="L192" s="0" t="n">
        <v>49.08</v>
      </c>
      <c r="M192" s="0" t="n">
        <v>-15.43</v>
      </c>
      <c r="N192" s="0" t="n">
        <v>50297</v>
      </c>
      <c r="O192" s="0" t="n">
        <v>1</v>
      </c>
      <c r="P192" s="0" t="n">
        <v>0</v>
      </c>
      <c r="Q192" s="0" t="s">
        <v>33</v>
      </c>
      <c r="R192" s="0" t="n">
        <v>3336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2</v>
      </c>
      <c r="Y192" s="0" t="n">
        <v>5086</v>
      </c>
      <c r="Z192" s="0" t="s">
        <v>34</v>
      </c>
      <c r="AA192" s="0" t="s">
        <v>37</v>
      </c>
      <c r="AB192" s="0" t="n">
        <v>0</v>
      </c>
      <c r="AC192" s="0" t="n">
        <v>0</v>
      </c>
    </row>
    <row r="193" customFormat="false" ht="15" hidden="false" customHeight="false" outlineLevel="0" collapsed="false">
      <c r="A193" s="0" t="n">
        <v>1443</v>
      </c>
      <c r="B193" s="0" t="s">
        <v>36</v>
      </c>
      <c r="C193" s="0" t="s">
        <v>51</v>
      </c>
      <c r="D193" s="0" t="s">
        <v>31</v>
      </c>
      <c r="E193" s="0" t="s">
        <v>32</v>
      </c>
      <c r="F193" s="0" t="s">
        <v>34</v>
      </c>
      <c r="G193" s="0" t="s">
        <v>53</v>
      </c>
      <c r="H193" s="0" t="n">
        <v>14</v>
      </c>
      <c r="I193" s="0" t="n">
        <v>10</v>
      </c>
      <c r="J193" s="0" t="n">
        <v>-4</v>
      </c>
      <c r="K193" s="0" t="n">
        <v>20.36</v>
      </c>
      <c r="L193" s="0" t="n">
        <v>20.6</v>
      </c>
      <c r="M193" s="0" t="n">
        <v>0.24</v>
      </c>
      <c r="N193" s="0" t="n">
        <v>82994</v>
      </c>
      <c r="O193" s="0" t="n">
        <v>1</v>
      </c>
      <c r="P193" s="0" t="n">
        <v>0</v>
      </c>
      <c r="Q193" s="0" t="s">
        <v>33</v>
      </c>
      <c r="R193" s="0" t="n">
        <v>3336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Z193" s="0" t="s">
        <v>33</v>
      </c>
      <c r="AA193" s="0" t="s">
        <v>40</v>
      </c>
      <c r="AB193" s="0" t="n">
        <v>0</v>
      </c>
      <c r="AC193" s="0" t="n">
        <v>0</v>
      </c>
    </row>
    <row r="194" customFormat="false" ht="15" hidden="false" customHeight="false" outlineLevel="0" collapsed="false">
      <c r="A194" s="0" t="n">
        <v>1449</v>
      </c>
      <c r="B194" s="0" t="s">
        <v>42</v>
      </c>
      <c r="C194" s="0" t="s">
        <v>48</v>
      </c>
      <c r="D194" s="0" t="s">
        <v>31</v>
      </c>
      <c r="E194" s="0" t="s">
        <v>32</v>
      </c>
      <c r="F194" s="0" t="s">
        <v>34</v>
      </c>
      <c r="G194" s="0" t="s">
        <v>53</v>
      </c>
      <c r="H194" s="0" t="n">
        <v>4</v>
      </c>
      <c r="I194" s="0" t="n">
        <v>2</v>
      </c>
      <c r="J194" s="0" t="n">
        <v>-2</v>
      </c>
      <c r="K194" s="0" t="n">
        <v>68.32</v>
      </c>
      <c r="L194" s="0" t="n">
        <v>81.16</v>
      </c>
      <c r="M194" s="0" t="n">
        <v>12.84</v>
      </c>
      <c r="N194" s="0" t="n">
        <v>39270</v>
      </c>
      <c r="O194" s="0" t="n">
        <v>1</v>
      </c>
      <c r="P194" s="0" t="n">
        <v>0</v>
      </c>
      <c r="Q194" s="0" t="s">
        <v>33</v>
      </c>
      <c r="R194" s="0" t="n">
        <v>3336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Z194" s="0" t="s">
        <v>33</v>
      </c>
      <c r="AA194" s="0" t="s">
        <v>40</v>
      </c>
      <c r="AB194" s="0" t="n">
        <v>0</v>
      </c>
      <c r="AC194" s="0" t="n">
        <v>0</v>
      </c>
    </row>
    <row r="195" customFormat="false" ht="15" hidden="false" customHeight="false" outlineLevel="0" collapsed="false">
      <c r="A195" s="0" t="n">
        <v>1450</v>
      </c>
      <c r="B195" s="0" t="s">
        <v>29</v>
      </c>
      <c r="C195" s="0" t="s">
        <v>39</v>
      </c>
      <c r="D195" s="0" t="s">
        <v>31</v>
      </c>
      <c r="E195" s="0" t="s">
        <v>32</v>
      </c>
      <c r="F195" s="0" t="s">
        <v>34</v>
      </c>
      <c r="G195" s="0" t="s">
        <v>53</v>
      </c>
      <c r="H195" s="0" t="n">
        <v>5</v>
      </c>
      <c r="I195" s="0" t="n">
        <v>5</v>
      </c>
      <c r="J195" s="0" t="n">
        <v>0</v>
      </c>
      <c r="K195" s="0" t="n">
        <v>47.37</v>
      </c>
      <c r="L195" s="0" t="n">
        <v>47.53</v>
      </c>
      <c r="M195" s="0" t="n">
        <v>0.16</v>
      </c>
      <c r="N195" s="0" t="n">
        <v>94081</v>
      </c>
      <c r="O195" s="0" t="n">
        <v>1</v>
      </c>
      <c r="P195" s="0" t="n">
        <v>0</v>
      </c>
      <c r="Q195" s="0" t="s">
        <v>33</v>
      </c>
      <c r="R195" s="0" t="n">
        <v>3336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5</v>
      </c>
      <c r="Y195" s="0" t="n">
        <v>7753</v>
      </c>
      <c r="Z195" s="0" t="s">
        <v>34</v>
      </c>
      <c r="AA195" s="0" t="s">
        <v>37</v>
      </c>
      <c r="AB195" s="0" t="n">
        <v>0</v>
      </c>
      <c r="AC195" s="0" t="n">
        <v>0</v>
      </c>
    </row>
    <row r="196" customFormat="false" ht="15" hidden="false" customHeight="false" outlineLevel="0" collapsed="false">
      <c r="A196" s="0" t="n">
        <v>1459</v>
      </c>
      <c r="B196" s="0" t="s">
        <v>29</v>
      </c>
      <c r="C196" s="0" t="s">
        <v>46</v>
      </c>
      <c r="D196" s="0" t="s">
        <v>31</v>
      </c>
      <c r="E196" s="0" t="s">
        <v>32</v>
      </c>
      <c r="F196" s="0" t="s">
        <v>34</v>
      </c>
      <c r="G196" s="0" t="s">
        <v>53</v>
      </c>
      <c r="H196" s="0" t="n">
        <v>13</v>
      </c>
      <c r="I196" s="0" t="n">
        <v>12</v>
      </c>
      <c r="J196" s="0" t="n">
        <v>-1</v>
      </c>
      <c r="K196" s="0" t="n">
        <v>27.08</v>
      </c>
      <c r="L196" s="0" t="n">
        <v>9.22</v>
      </c>
      <c r="M196" s="0" t="n">
        <v>-17.86</v>
      </c>
      <c r="N196" s="0" t="n">
        <v>101761</v>
      </c>
      <c r="O196" s="0" t="n">
        <v>1</v>
      </c>
      <c r="P196" s="0" t="n">
        <v>0</v>
      </c>
      <c r="Q196" s="0" t="s">
        <v>33</v>
      </c>
      <c r="R196" s="0" t="n">
        <v>3336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4</v>
      </c>
      <c r="Y196" s="0" t="n">
        <v>12923</v>
      </c>
      <c r="Z196" s="0" t="s">
        <v>33</v>
      </c>
      <c r="AA196" s="0" t="s">
        <v>40</v>
      </c>
      <c r="AB196" s="0" t="n">
        <v>0</v>
      </c>
      <c r="AC196" s="0" t="n">
        <v>0</v>
      </c>
    </row>
    <row r="197" customFormat="false" ht="15" hidden="false" customHeight="false" outlineLevel="0" collapsed="false">
      <c r="A197" s="0" t="n">
        <v>1474</v>
      </c>
      <c r="B197" s="0" t="s">
        <v>29</v>
      </c>
      <c r="C197" s="0" t="s">
        <v>47</v>
      </c>
      <c r="D197" s="0" t="s">
        <v>31</v>
      </c>
      <c r="E197" s="0" t="s">
        <v>32</v>
      </c>
      <c r="F197" s="0" t="s">
        <v>34</v>
      </c>
      <c r="G197" s="0" t="s">
        <v>53</v>
      </c>
      <c r="H197" s="0" t="n">
        <v>3</v>
      </c>
      <c r="I197" s="0" t="n">
        <v>3</v>
      </c>
      <c r="J197" s="0" t="n">
        <v>0</v>
      </c>
      <c r="K197" s="0" t="n">
        <v>64.72</v>
      </c>
      <c r="L197" s="0" t="n">
        <v>68.52</v>
      </c>
      <c r="M197" s="0" t="n">
        <v>3.8</v>
      </c>
      <c r="N197" s="0" t="n">
        <v>44404</v>
      </c>
      <c r="O197" s="0" t="n">
        <v>1</v>
      </c>
      <c r="P197" s="0" t="n">
        <v>0</v>
      </c>
      <c r="Q197" s="0" t="s">
        <v>33</v>
      </c>
      <c r="R197" s="0" t="n">
        <v>3336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Z197" s="0" t="s">
        <v>34</v>
      </c>
      <c r="AA197" s="0" t="s">
        <v>37</v>
      </c>
      <c r="AB197" s="0" t="n">
        <v>0</v>
      </c>
      <c r="AC197" s="0" t="n">
        <v>0</v>
      </c>
    </row>
    <row r="198" customFormat="false" ht="15" hidden="false" customHeight="false" outlineLevel="0" collapsed="false">
      <c r="A198" s="0" t="n">
        <v>1487</v>
      </c>
      <c r="B198" s="0" t="s">
        <v>29</v>
      </c>
      <c r="C198" s="0" t="s">
        <v>38</v>
      </c>
      <c r="D198" s="0" t="s">
        <v>31</v>
      </c>
      <c r="E198" s="0" t="s">
        <v>32</v>
      </c>
      <c r="F198" s="0" t="s">
        <v>34</v>
      </c>
      <c r="G198" s="0" t="s">
        <v>53</v>
      </c>
      <c r="H198" s="0" t="n">
        <v>3</v>
      </c>
      <c r="I198" s="0" t="n">
        <v>3</v>
      </c>
      <c r="J198" s="0" t="n">
        <v>0</v>
      </c>
      <c r="K198" s="0" t="n">
        <v>68.86</v>
      </c>
      <c r="L198" s="0" t="n">
        <v>68.86</v>
      </c>
      <c r="M198" s="0" t="n">
        <v>0</v>
      </c>
      <c r="N198" s="0" t="n">
        <v>42868</v>
      </c>
      <c r="O198" s="0" t="n">
        <v>1</v>
      </c>
      <c r="P198" s="0" t="n">
        <v>0</v>
      </c>
      <c r="Q198" s="0" t="s">
        <v>33</v>
      </c>
      <c r="R198" s="0" t="n">
        <v>3336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2</v>
      </c>
      <c r="Y198" s="0" t="n">
        <v>3834</v>
      </c>
      <c r="Z198" s="0" t="s">
        <v>33</v>
      </c>
      <c r="AA198" s="0" t="s">
        <v>40</v>
      </c>
      <c r="AB198" s="0" t="n">
        <v>0</v>
      </c>
      <c r="AC198" s="0" t="n">
        <v>0</v>
      </c>
    </row>
    <row r="199" customFormat="false" ht="15" hidden="false" customHeight="false" outlineLevel="0" collapsed="false">
      <c r="A199" s="0" t="n">
        <v>1499</v>
      </c>
      <c r="B199" s="0" t="s">
        <v>36</v>
      </c>
      <c r="C199" s="0" t="s">
        <v>41</v>
      </c>
      <c r="D199" s="0" t="s">
        <v>54</v>
      </c>
      <c r="E199" s="0" t="s">
        <v>50</v>
      </c>
      <c r="F199" s="0" t="s">
        <v>33</v>
      </c>
      <c r="H199" s="0" t="n">
        <v>5</v>
      </c>
      <c r="I199" s="0" t="n">
        <v>5</v>
      </c>
      <c r="J199" s="0" t="n">
        <v>0</v>
      </c>
      <c r="K199" s="0" t="n">
        <v>35.02</v>
      </c>
      <c r="L199" s="0" t="n">
        <v>35.02</v>
      </c>
      <c r="M199" s="0" t="n">
        <v>0</v>
      </c>
      <c r="N199" s="0" t="n">
        <v>242540</v>
      </c>
      <c r="O199" s="0" t="n">
        <v>4</v>
      </c>
      <c r="P199" s="0" t="n">
        <v>0</v>
      </c>
      <c r="Q199" s="0" t="s">
        <v>34</v>
      </c>
      <c r="R199" s="0" t="n">
        <v>2828</v>
      </c>
      <c r="S199" s="0" t="n">
        <v>0</v>
      </c>
      <c r="T199" s="0" t="n">
        <v>0</v>
      </c>
      <c r="U199" s="0" t="n">
        <v>0</v>
      </c>
      <c r="V199" s="0" t="n">
        <v>3</v>
      </c>
      <c r="W199" s="0" t="n">
        <v>0</v>
      </c>
      <c r="X199" s="0" t="n">
        <v>4</v>
      </c>
      <c r="Y199" s="0" t="n">
        <v>13395</v>
      </c>
      <c r="Z199" s="0" t="s">
        <v>33</v>
      </c>
      <c r="AA199" s="0" t="s">
        <v>40</v>
      </c>
      <c r="AB199" s="0" t="n">
        <v>0</v>
      </c>
      <c r="AC199" s="0" t="n">
        <v>0</v>
      </c>
    </row>
    <row r="200" customFormat="false" ht="15" hidden="false" customHeight="false" outlineLevel="0" collapsed="false">
      <c r="A200" s="0" t="n">
        <v>1510</v>
      </c>
      <c r="B200" s="0" t="s">
        <v>42</v>
      </c>
      <c r="C200" s="0" t="s">
        <v>41</v>
      </c>
      <c r="D200" s="0" t="s">
        <v>54</v>
      </c>
      <c r="E200" s="0" t="s">
        <v>50</v>
      </c>
      <c r="F200" s="0" t="s">
        <v>33</v>
      </c>
      <c r="H200" s="0" t="n">
        <v>4</v>
      </c>
      <c r="I200" s="0" t="n">
        <v>4</v>
      </c>
      <c r="J200" s="0" t="n">
        <v>0</v>
      </c>
      <c r="K200" s="0" t="n">
        <v>41.84</v>
      </c>
      <c r="L200" s="0" t="n">
        <v>41.84</v>
      </c>
      <c r="M200" s="0" t="n">
        <v>0</v>
      </c>
      <c r="N200" s="0" t="n">
        <v>150853</v>
      </c>
      <c r="O200" s="0" t="n">
        <v>4</v>
      </c>
      <c r="P200" s="0" t="n">
        <v>0</v>
      </c>
      <c r="Q200" s="0" t="s">
        <v>34</v>
      </c>
      <c r="R200" s="0" t="n">
        <v>2828</v>
      </c>
      <c r="S200" s="0" t="n">
        <v>0</v>
      </c>
      <c r="T200" s="0" t="n">
        <v>0</v>
      </c>
      <c r="U200" s="0" t="n">
        <v>0</v>
      </c>
      <c r="V200" s="0" t="n">
        <v>3</v>
      </c>
      <c r="W200" s="0" t="n">
        <v>0</v>
      </c>
      <c r="X200" s="0" t="n">
        <v>0</v>
      </c>
      <c r="Z200" s="0" t="s">
        <v>34</v>
      </c>
      <c r="AA200" s="0" t="s">
        <v>37</v>
      </c>
      <c r="AB200" s="0" t="n">
        <v>0</v>
      </c>
      <c r="AC200" s="0" t="n">
        <v>0</v>
      </c>
    </row>
    <row r="201" customFormat="false" ht="15" hidden="false" customHeight="false" outlineLevel="0" collapsed="false">
      <c r="A201" s="0" t="n">
        <v>1524</v>
      </c>
      <c r="B201" s="0" t="s">
        <v>29</v>
      </c>
      <c r="C201" s="0" t="s">
        <v>38</v>
      </c>
      <c r="D201" s="0" t="s">
        <v>31</v>
      </c>
      <c r="E201" s="0" t="s">
        <v>32</v>
      </c>
      <c r="F201" s="0" t="s">
        <v>34</v>
      </c>
      <c r="G201" s="0" t="s">
        <v>53</v>
      </c>
      <c r="H201" s="0" t="n">
        <v>7</v>
      </c>
      <c r="I201" s="0" t="n">
        <v>7</v>
      </c>
      <c r="J201" s="0" t="n">
        <v>0</v>
      </c>
      <c r="K201" s="0" t="n">
        <v>30.49</v>
      </c>
      <c r="L201" s="0" t="n">
        <v>29.5</v>
      </c>
      <c r="M201" s="0" t="n">
        <v>-0.99</v>
      </c>
      <c r="N201" s="0" t="n">
        <v>67521</v>
      </c>
      <c r="O201" s="0" t="n">
        <v>1</v>
      </c>
      <c r="P201" s="0" t="n">
        <v>0</v>
      </c>
      <c r="Q201" s="0" t="s">
        <v>33</v>
      </c>
      <c r="R201" s="0" t="n">
        <v>3336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2</v>
      </c>
      <c r="Y201" s="0" t="n">
        <v>12760</v>
      </c>
      <c r="Z201" s="0" t="s">
        <v>33</v>
      </c>
      <c r="AA201" s="0" t="s">
        <v>40</v>
      </c>
      <c r="AB201" s="0" t="n">
        <v>0</v>
      </c>
      <c r="AC201" s="0" t="n">
        <v>0</v>
      </c>
    </row>
    <row r="202" customFormat="false" ht="15" hidden="false" customHeight="false" outlineLevel="0" collapsed="false">
      <c r="A202" s="0" t="n">
        <v>1529</v>
      </c>
      <c r="B202" s="0" t="s">
        <v>29</v>
      </c>
      <c r="C202" s="0" t="s">
        <v>43</v>
      </c>
      <c r="D202" s="0" t="s">
        <v>54</v>
      </c>
      <c r="E202" s="0" t="s">
        <v>50</v>
      </c>
      <c r="F202" s="0" t="s">
        <v>33</v>
      </c>
      <c r="H202" s="0" t="n">
        <v>5</v>
      </c>
      <c r="I202" s="0" t="n">
        <v>5</v>
      </c>
      <c r="J202" s="0" t="n">
        <v>0</v>
      </c>
      <c r="K202" s="0" t="n">
        <v>55.12</v>
      </c>
      <c r="L202" s="0" t="n">
        <v>55.12</v>
      </c>
      <c r="M202" s="0" t="n">
        <v>0</v>
      </c>
      <c r="N202" s="0" t="n">
        <v>119290</v>
      </c>
      <c r="O202" s="0" t="n">
        <v>4</v>
      </c>
      <c r="P202" s="0" t="n">
        <v>0</v>
      </c>
      <c r="Q202" s="0" t="s">
        <v>34</v>
      </c>
      <c r="R202" s="0" t="n">
        <v>2828</v>
      </c>
      <c r="S202" s="0" t="n">
        <v>1</v>
      </c>
      <c r="T202" s="0" t="n">
        <v>0</v>
      </c>
      <c r="U202" s="0" t="n">
        <v>0</v>
      </c>
      <c r="V202" s="0" t="n">
        <v>2</v>
      </c>
      <c r="W202" s="0" t="n">
        <v>0</v>
      </c>
      <c r="X202" s="0" t="n">
        <v>0</v>
      </c>
      <c r="Z202" s="0" t="s">
        <v>34</v>
      </c>
      <c r="AA202" s="0" t="s">
        <v>37</v>
      </c>
      <c r="AB202" s="0" t="n">
        <v>0</v>
      </c>
      <c r="AC202" s="0" t="n">
        <v>0</v>
      </c>
    </row>
    <row r="203" customFormat="false" ht="15" hidden="false" customHeight="false" outlineLevel="0" collapsed="false">
      <c r="A203" s="0" t="n">
        <v>1535</v>
      </c>
      <c r="B203" s="0" t="s">
        <v>29</v>
      </c>
      <c r="C203" s="0" t="s">
        <v>39</v>
      </c>
      <c r="D203" s="0" t="s">
        <v>31</v>
      </c>
      <c r="E203" s="0" t="s">
        <v>32</v>
      </c>
      <c r="F203" s="0" t="s">
        <v>34</v>
      </c>
      <c r="G203" s="0" t="s">
        <v>53</v>
      </c>
      <c r="H203" s="0" t="n">
        <v>8</v>
      </c>
      <c r="I203" s="0" t="n">
        <v>8</v>
      </c>
      <c r="J203" s="0" t="n">
        <v>0</v>
      </c>
      <c r="K203" s="0" t="n">
        <v>49.59</v>
      </c>
      <c r="L203" s="0" t="n">
        <v>45.36</v>
      </c>
      <c r="M203" s="0" t="n">
        <v>-4.23</v>
      </c>
      <c r="N203" s="0" t="n">
        <v>51313</v>
      </c>
      <c r="O203" s="0" t="n">
        <v>1</v>
      </c>
      <c r="P203" s="0" t="n">
        <v>0</v>
      </c>
      <c r="Q203" s="0" t="s">
        <v>33</v>
      </c>
      <c r="R203" s="0" t="n">
        <v>3334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2</v>
      </c>
      <c r="Y203" s="0" t="n">
        <v>6342</v>
      </c>
      <c r="Z203" s="0" t="s">
        <v>34</v>
      </c>
      <c r="AA203" s="0" t="s">
        <v>37</v>
      </c>
      <c r="AB203" s="0" t="n">
        <v>0</v>
      </c>
      <c r="AC203" s="0" t="n">
        <v>0</v>
      </c>
    </row>
    <row r="204" customFormat="false" ht="15" hidden="false" customHeight="false" outlineLevel="0" collapsed="false">
      <c r="A204" s="0" t="n">
        <v>1539</v>
      </c>
      <c r="B204" s="0" t="s">
        <v>36</v>
      </c>
      <c r="C204" s="0" t="s">
        <v>41</v>
      </c>
      <c r="D204" s="0" t="s">
        <v>54</v>
      </c>
      <c r="E204" s="0" t="s">
        <v>50</v>
      </c>
      <c r="F204" s="0" t="s">
        <v>33</v>
      </c>
      <c r="H204" s="0" t="n">
        <v>5</v>
      </c>
      <c r="I204" s="0" t="n">
        <v>5</v>
      </c>
      <c r="J204" s="0" t="n">
        <v>0</v>
      </c>
      <c r="K204" s="0" t="n">
        <v>46.97</v>
      </c>
      <c r="L204" s="0" t="n">
        <v>46.97</v>
      </c>
      <c r="M204" s="0" t="n">
        <v>0</v>
      </c>
      <c r="N204" s="0" t="n">
        <v>130328</v>
      </c>
      <c r="O204" s="0" t="n">
        <v>4</v>
      </c>
      <c r="P204" s="0" t="n">
        <v>0</v>
      </c>
      <c r="Q204" s="0" t="s">
        <v>34</v>
      </c>
      <c r="R204" s="0" t="n">
        <v>2828</v>
      </c>
      <c r="S204" s="0" t="n">
        <v>0</v>
      </c>
      <c r="T204" s="0" t="n">
        <v>0</v>
      </c>
      <c r="U204" s="0" t="n">
        <v>0</v>
      </c>
      <c r="V204" s="0" t="n">
        <v>3</v>
      </c>
      <c r="W204" s="0" t="n">
        <v>0</v>
      </c>
      <c r="X204" s="0" t="n">
        <v>0</v>
      </c>
      <c r="Z204" s="0" t="s">
        <v>33</v>
      </c>
      <c r="AA204" s="0" t="s">
        <v>40</v>
      </c>
      <c r="AB204" s="0" t="n">
        <v>0</v>
      </c>
      <c r="AC204" s="0" t="n">
        <v>0</v>
      </c>
    </row>
    <row r="205" customFormat="false" ht="15" hidden="false" customHeight="false" outlineLevel="0" collapsed="false">
      <c r="A205" s="0" t="n">
        <v>1569</v>
      </c>
      <c r="B205" s="0" t="s">
        <v>29</v>
      </c>
      <c r="C205" s="0" t="s">
        <v>38</v>
      </c>
      <c r="D205" s="0" t="s">
        <v>31</v>
      </c>
      <c r="E205" s="0" t="s">
        <v>32</v>
      </c>
      <c r="F205" s="0" t="s">
        <v>34</v>
      </c>
      <c r="G205" s="0" t="s">
        <v>53</v>
      </c>
      <c r="H205" s="0" t="n">
        <v>4</v>
      </c>
      <c r="I205" s="0" t="n">
        <v>4</v>
      </c>
      <c r="J205" s="0" t="n">
        <v>0</v>
      </c>
      <c r="K205" s="0" t="n">
        <v>74.3</v>
      </c>
      <c r="L205" s="0" t="n">
        <v>52.42</v>
      </c>
      <c r="M205" s="0" t="n">
        <v>-21.88</v>
      </c>
      <c r="N205" s="0" t="n">
        <v>44848</v>
      </c>
      <c r="O205" s="0" t="n">
        <v>1</v>
      </c>
      <c r="P205" s="0" t="n">
        <v>0</v>
      </c>
      <c r="Q205" s="0" t="s">
        <v>33</v>
      </c>
      <c r="R205" s="0" t="n">
        <v>3334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2</v>
      </c>
      <c r="Y205" s="0" t="n">
        <v>4610</v>
      </c>
      <c r="Z205" s="0" t="s">
        <v>33</v>
      </c>
      <c r="AA205" s="0" t="s">
        <v>40</v>
      </c>
      <c r="AB205" s="0" t="n">
        <v>0</v>
      </c>
      <c r="AC205" s="0" t="n">
        <v>0</v>
      </c>
    </row>
    <row r="206" customFormat="false" ht="15" hidden="false" customHeight="false" outlineLevel="0" collapsed="false">
      <c r="A206" s="0" t="n">
        <v>1576</v>
      </c>
      <c r="B206" s="0" t="s">
        <v>36</v>
      </c>
      <c r="C206" s="0" t="s">
        <v>41</v>
      </c>
      <c r="D206" s="0" t="s">
        <v>54</v>
      </c>
      <c r="E206" s="0" t="s">
        <v>50</v>
      </c>
      <c r="F206" s="0" t="s">
        <v>33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162382</v>
      </c>
      <c r="O206" s="0" t="n">
        <v>4</v>
      </c>
      <c r="P206" s="0" t="n">
        <v>0</v>
      </c>
      <c r="Q206" s="0" t="s">
        <v>34</v>
      </c>
      <c r="R206" s="0" t="n">
        <v>2828</v>
      </c>
      <c r="S206" s="0" t="n">
        <v>2</v>
      </c>
      <c r="T206" s="0" t="n">
        <v>1</v>
      </c>
      <c r="U206" s="0" t="n">
        <v>0</v>
      </c>
      <c r="V206" s="0" t="n">
        <v>0</v>
      </c>
      <c r="W206" s="0" t="n">
        <v>0</v>
      </c>
      <c r="X206" s="0" t="n">
        <v>6</v>
      </c>
      <c r="Y206" s="0" t="n">
        <v>7212</v>
      </c>
      <c r="Z206" s="0" t="s">
        <v>33</v>
      </c>
      <c r="AA206" s="0" t="s">
        <v>40</v>
      </c>
      <c r="AB206" s="0" t="n">
        <v>0</v>
      </c>
      <c r="AC206" s="0" t="n">
        <v>0</v>
      </c>
    </row>
    <row r="207" customFormat="false" ht="15" hidden="false" customHeight="false" outlineLevel="0" collapsed="false">
      <c r="A207" s="0" t="n">
        <v>1580</v>
      </c>
      <c r="B207" s="0" t="s">
        <v>29</v>
      </c>
      <c r="C207" s="0" t="s">
        <v>46</v>
      </c>
      <c r="D207" s="0" t="s">
        <v>54</v>
      </c>
      <c r="E207" s="0" t="s">
        <v>50</v>
      </c>
      <c r="F207" s="0" t="s">
        <v>33</v>
      </c>
      <c r="H207" s="0" t="n">
        <v>8</v>
      </c>
      <c r="I207" s="0" t="n">
        <v>8</v>
      </c>
      <c r="J207" s="0" t="n">
        <v>0</v>
      </c>
      <c r="K207" s="0" t="n">
        <v>59.21</v>
      </c>
      <c r="L207" s="0" t="n">
        <v>59.21</v>
      </c>
      <c r="M207" s="0" t="n">
        <v>0</v>
      </c>
      <c r="N207" s="0" t="n">
        <v>201448</v>
      </c>
      <c r="O207" s="0" t="n">
        <v>4</v>
      </c>
      <c r="P207" s="0" t="n">
        <v>0</v>
      </c>
      <c r="Q207" s="0" t="s">
        <v>34</v>
      </c>
      <c r="R207" s="0" t="n">
        <v>2828</v>
      </c>
      <c r="S207" s="0" t="n">
        <v>0</v>
      </c>
      <c r="T207" s="0" t="n">
        <v>0</v>
      </c>
      <c r="U207" s="0" t="n">
        <v>0</v>
      </c>
      <c r="V207" s="0" t="n">
        <v>3</v>
      </c>
      <c r="W207" s="0" t="n">
        <v>0</v>
      </c>
      <c r="X207" s="0" t="n">
        <v>5</v>
      </c>
      <c r="Y207" s="0" t="n">
        <v>8940</v>
      </c>
      <c r="Z207" s="0" t="s">
        <v>34</v>
      </c>
      <c r="AA207" s="0" t="s">
        <v>37</v>
      </c>
      <c r="AB207" s="0" t="n">
        <v>0</v>
      </c>
      <c r="AC207" s="0" t="n">
        <v>0</v>
      </c>
    </row>
    <row r="208" customFormat="false" ht="15" hidden="false" customHeight="false" outlineLevel="0" collapsed="false">
      <c r="A208" s="0" t="n">
        <v>1611</v>
      </c>
      <c r="B208" s="0" t="s">
        <v>29</v>
      </c>
      <c r="C208" s="0" t="s">
        <v>48</v>
      </c>
      <c r="D208" s="0" t="s">
        <v>31</v>
      </c>
      <c r="E208" s="0" t="s">
        <v>32</v>
      </c>
      <c r="F208" s="0" t="s">
        <v>34</v>
      </c>
      <c r="G208" s="0" t="s">
        <v>53</v>
      </c>
      <c r="H208" s="0" t="n">
        <v>2</v>
      </c>
      <c r="I208" s="0" t="n">
        <v>1</v>
      </c>
      <c r="J208" s="0" t="n">
        <v>-1</v>
      </c>
      <c r="K208" s="0" t="n">
        <v>78.33</v>
      </c>
      <c r="L208" s="0" t="n">
        <v>82.05</v>
      </c>
      <c r="M208" s="0" t="n">
        <v>3.72</v>
      </c>
      <c r="N208" s="0" t="n">
        <v>36067</v>
      </c>
      <c r="O208" s="0" t="n">
        <v>1</v>
      </c>
      <c r="P208" s="0" t="n">
        <v>0</v>
      </c>
      <c r="Q208" s="0" t="s">
        <v>33</v>
      </c>
      <c r="R208" s="0" t="n">
        <v>3334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Z208" s="0" t="s">
        <v>33</v>
      </c>
      <c r="AA208" s="0" t="s">
        <v>40</v>
      </c>
      <c r="AB208" s="0" t="n">
        <v>0</v>
      </c>
      <c r="AC208" s="0" t="n">
        <v>0</v>
      </c>
    </row>
    <row r="209" customFormat="false" ht="15" hidden="false" customHeight="false" outlineLevel="0" collapsed="false">
      <c r="A209" s="0" t="n">
        <v>1647</v>
      </c>
      <c r="B209" s="0" t="s">
        <v>42</v>
      </c>
      <c r="C209" s="0" t="s">
        <v>39</v>
      </c>
      <c r="D209" s="0" t="s">
        <v>31</v>
      </c>
      <c r="E209" s="0" t="s">
        <v>32</v>
      </c>
      <c r="F209" s="0" t="s">
        <v>34</v>
      </c>
      <c r="G209" s="0" t="s">
        <v>53</v>
      </c>
      <c r="H209" s="0" t="n">
        <v>3</v>
      </c>
      <c r="I209" s="0" t="n">
        <v>3</v>
      </c>
      <c r="J209" s="0" t="n">
        <v>0</v>
      </c>
      <c r="K209" s="0" t="n">
        <v>62.42</v>
      </c>
      <c r="L209" s="0" t="n">
        <v>39.73</v>
      </c>
      <c r="M209" s="0" t="n">
        <v>-22.69</v>
      </c>
      <c r="N209" s="0" t="n">
        <v>44886</v>
      </c>
      <c r="O209" s="0" t="n">
        <v>1</v>
      </c>
      <c r="P209" s="0" t="n">
        <v>0</v>
      </c>
      <c r="Q209" s="0" t="s">
        <v>33</v>
      </c>
      <c r="R209" s="0" t="n">
        <v>3334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2</v>
      </c>
      <c r="Y209" s="0" t="n">
        <v>6038</v>
      </c>
      <c r="Z209" s="0" t="s">
        <v>33</v>
      </c>
      <c r="AA209" s="0" t="s">
        <v>40</v>
      </c>
      <c r="AB209" s="0" t="n">
        <v>0</v>
      </c>
      <c r="AC209" s="0" t="n">
        <v>0</v>
      </c>
    </row>
    <row r="210" customFormat="false" ht="15" hidden="false" customHeight="false" outlineLevel="0" collapsed="false">
      <c r="A210" s="0" t="n">
        <v>1657</v>
      </c>
      <c r="B210" s="0" t="s">
        <v>29</v>
      </c>
      <c r="C210" s="0" t="s">
        <v>38</v>
      </c>
      <c r="D210" s="0" t="s">
        <v>54</v>
      </c>
      <c r="E210" s="0" t="s">
        <v>50</v>
      </c>
      <c r="F210" s="0" t="s">
        <v>33</v>
      </c>
      <c r="H210" s="0" t="n">
        <v>3</v>
      </c>
      <c r="I210" s="0" t="n">
        <v>3</v>
      </c>
      <c r="J210" s="0" t="n">
        <v>0</v>
      </c>
      <c r="K210" s="0" t="n">
        <v>53.94</v>
      </c>
      <c r="L210" s="0" t="n">
        <v>53.94</v>
      </c>
      <c r="M210" s="0" t="n">
        <v>0</v>
      </c>
      <c r="N210" s="0" t="n">
        <v>133310</v>
      </c>
      <c r="O210" s="0" t="n">
        <v>4</v>
      </c>
      <c r="P210" s="0" t="n">
        <v>0</v>
      </c>
      <c r="Q210" s="0" t="s">
        <v>34</v>
      </c>
      <c r="R210" s="0" t="n">
        <v>2828</v>
      </c>
      <c r="S210" s="0" t="n">
        <v>0</v>
      </c>
      <c r="T210" s="0" t="n">
        <v>0</v>
      </c>
      <c r="U210" s="0" t="n">
        <v>0</v>
      </c>
      <c r="V210" s="0" t="n">
        <v>3</v>
      </c>
      <c r="W210" s="0" t="n">
        <v>0</v>
      </c>
      <c r="X210" s="0" t="n">
        <v>5</v>
      </c>
      <c r="Y210" s="0" t="n">
        <v>4682</v>
      </c>
      <c r="Z210" s="0" t="s">
        <v>33</v>
      </c>
      <c r="AA210" s="0" t="s">
        <v>40</v>
      </c>
      <c r="AB210" s="0" t="n">
        <v>0</v>
      </c>
      <c r="AC210" s="0" t="n">
        <v>0</v>
      </c>
    </row>
    <row r="211" customFormat="false" ht="15" hidden="false" customHeight="false" outlineLevel="0" collapsed="false">
      <c r="A211" s="0" t="n">
        <v>1663</v>
      </c>
      <c r="B211" s="0" t="s">
        <v>29</v>
      </c>
      <c r="C211" s="0" t="s">
        <v>38</v>
      </c>
      <c r="D211" s="0" t="s">
        <v>31</v>
      </c>
      <c r="E211" s="0" t="s">
        <v>32</v>
      </c>
      <c r="F211" s="0" t="s">
        <v>34</v>
      </c>
      <c r="G211" s="0" t="s">
        <v>53</v>
      </c>
      <c r="H211" s="0" t="n">
        <v>2</v>
      </c>
      <c r="I211" s="0" t="n">
        <v>2</v>
      </c>
      <c r="J211" s="0" t="n">
        <v>0</v>
      </c>
      <c r="K211" s="0" t="n">
        <v>69.4</v>
      </c>
      <c r="L211" s="0" t="n">
        <v>69.4</v>
      </c>
      <c r="M211" s="0" t="n">
        <v>0</v>
      </c>
      <c r="N211" s="0" t="n">
        <v>39908</v>
      </c>
      <c r="O211" s="0" t="n">
        <v>1</v>
      </c>
      <c r="P211" s="0" t="n">
        <v>0</v>
      </c>
      <c r="Q211" s="0" t="s">
        <v>33</v>
      </c>
      <c r="R211" s="0" t="n">
        <v>3336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2</v>
      </c>
      <c r="Y211" s="0" t="n">
        <v>3502</v>
      </c>
      <c r="Z211" s="0" t="s">
        <v>33</v>
      </c>
      <c r="AA211" s="0" t="s">
        <v>40</v>
      </c>
      <c r="AB211" s="0" t="n">
        <v>0</v>
      </c>
      <c r="AC211" s="0" t="n">
        <v>0</v>
      </c>
    </row>
    <row r="212" customFormat="false" ht="15" hidden="false" customHeight="false" outlineLevel="0" collapsed="false">
      <c r="A212" s="0" t="n">
        <v>1679</v>
      </c>
      <c r="B212" s="0" t="s">
        <v>42</v>
      </c>
      <c r="C212" s="0" t="s">
        <v>38</v>
      </c>
      <c r="D212" s="0" t="s">
        <v>31</v>
      </c>
      <c r="E212" s="0" t="s">
        <v>32</v>
      </c>
      <c r="F212" s="0" t="s">
        <v>34</v>
      </c>
      <c r="G212" s="0" t="s">
        <v>53</v>
      </c>
      <c r="H212" s="0" t="n">
        <v>4</v>
      </c>
      <c r="I212" s="0" t="n">
        <v>4</v>
      </c>
      <c r="J212" s="0" t="n">
        <v>0</v>
      </c>
      <c r="K212" s="0" t="n">
        <v>61.28</v>
      </c>
      <c r="L212" s="0" t="n">
        <v>61.28</v>
      </c>
      <c r="M212" s="0" t="n">
        <v>0</v>
      </c>
      <c r="N212" s="0" t="n">
        <v>44321</v>
      </c>
      <c r="O212" s="0" t="n">
        <v>1</v>
      </c>
      <c r="P212" s="0" t="n">
        <v>0</v>
      </c>
      <c r="Q212" s="0" t="s">
        <v>33</v>
      </c>
      <c r="R212" s="0" t="n">
        <v>3336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2</v>
      </c>
      <c r="Y212" s="0" t="n">
        <v>4602</v>
      </c>
      <c r="Z212" s="0" t="s">
        <v>34</v>
      </c>
      <c r="AA212" s="0" t="s">
        <v>37</v>
      </c>
      <c r="AB212" s="0" t="n">
        <v>0</v>
      </c>
      <c r="AC212" s="0" t="n">
        <v>0</v>
      </c>
    </row>
    <row r="213" customFormat="false" ht="15" hidden="false" customHeight="false" outlineLevel="0" collapsed="false">
      <c r="A213" s="0" t="n">
        <v>1708</v>
      </c>
      <c r="B213" s="0" t="s">
        <v>29</v>
      </c>
      <c r="C213" s="0" t="s">
        <v>46</v>
      </c>
      <c r="D213" s="0" t="s">
        <v>54</v>
      </c>
      <c r="E213" s="0" t="s">
        <v>50</v>
      </c>
      <c r="F213" s="0" t="s">
        <v>33</v>
      </c>
      <c r="H213" s="0" t="n">
        <v>7</v>
      </c>
      <c r="I213" s="0" t="n">
        <v>7</v>
      </c>
      <c r="J213" s="0" t="n">
        <v>0</v>
      </c>
      <c r="K213" s="0" t="n">
        <v>42.71</v>
      </c>
      <c r="L213" s="0" t="n">
        <v>42.71</v>
      </c>
      <c r="M213" s="0" t="n">
        <v>0</v>
      </c>
      <c r="N213" s="0" t="n">
        <v>160391</v>
      </c>
      <c r="O213" s="0" t="n">
        <v>4</v>
      </c>
      <c r="P213" s="0" t="n">
        <v>0</v>
      </c>
      <c r="Q213" s="0" t="s">
        <v>34</v>
      </c>
      <c r="R213" s="0" t="n">
        <v>2828</v>
      </c>
      <c r="S213" s="0" t="n">
        <v>0</v>
      </c>
      <c r="T213" s="0" t="n">
        <v>0</v>
      </c>
      <c r="U213" s="0" t="n">
        <v>0</v>
      </c>
      <c r="V213" s="0" t="n">
        <v>3</v>
      </c>
      <c r="W213" s="0" t="n">
        <v>0</v>
      </c>
      <c r="X213" s="0" t="n">
        <v>4</v>
      </c>
      <c r="Y213" s="0" t="n">
        <v>7101</v>
      </c>
      <c r="Z213" s="0" t="s">
        <v>34</v>
      </c>
      <c r="AA213" s="0" t="s">
        <v>37</v>
      </c>
      <c r="AB213" s="0" t="n">
        <v>0</v>
      </c>
      <c r="AC213" s="0" t="n">
        <v>0</v>
      </c>
    </row>
    <row r="214" customFormat="false" ht="15" hidden="false" customHeight="false" outlineLevel="0" collapsed="false">
      <c r="A214" s="0" t="n">
        <v>1718</v>
      </c>
      <c r="B214" s="0" t="s">
        <v>29</v>
      </c>
      <c r="C214" s="0" t="s">
        <v>39</v>
      </c>
      <c r="D214" s="0" t="s">
        <v>31</v>
      </c>
      <c r="E214" s="0" t="s">
        <v>32</v>
      </c>
      <c r="F214" s="0" t="s">
        <v>34</v>
      </c>
      <c r="G214" s="0" t="s">
        <v>53</v>
      </c>
      <c r="H214" s="0" t="n">
        <v>5</v>
      </c>
      <c r="I214" s="0" t="n">
        <v>4</v>
      </c>
      <c r="J214" s="0" t="n">
        <v>-1</v>
      </c>
      <c r="K214" s="0" t="n">
        <v>63.59</v>
      </c>
      <c r="L214" s="0" t="n">
        <v>61.51</v>
      </c>
      <c r="M214" s="0" t="n">
        <v>-2.08</v>
      </c>
      <c r="N214" s="0" t="n">
        <v>67219</v>
      </c>
      <c r="O214" s="0" t="n">
        <v>1</v>
      </c>
      <c r="P214" s="0" t="n">
        <v>0</v>
      </c>
      <c r="Q214" s="0" t="s">
        <v>33</v>
      </c>
      <c r="R214" s="0" t="n">
        <v>3336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4</v>
      </c>
      <c r="Y214" s="0" t="n">
        <v>4133</v>
      </c>
      <c r="Z214" s="0" t="s">
        <v>34</v>
      </c>
      <c r="AA214" s="0" t="s">
        <v>37</v>
      </c>
      <c r="AB214" s="0" t="n">
        <v>0</v>
      </c>
      <c r="AC214" s="0" t="n">
        <v>0</v>
      </c>
    </row>
    <row r="215" customFormat="false" ht="15" hidden="false" customHeight="false" outlineLevel="0" collapsed="false">
      <c r="A215" s="0" t="n">
        <v>1727</v>
      </c>
      <c r="B215" s="0" t="s">
        <v>29</v>
      </c>
      <c r="C215" s="0" t="s">
        <v>41</v>
      </c>
      <c r="D215" s="0" t="s">
        <v>54</v>
      </c>
      <c r="E215" s="0" t="s">
        <v>50</v>
      </c>
      <c r="F215" s="0" t="s">
        <v>33</v>
      </c>
      <c r="H215" s="0" t="n">
        <v>4</v>
      </c>
      <c r="I215" s="0" t="n">
        <v>4</v>
      </c>
      <c r="J215" s="0" t="n">
        <v>0</v>
      </c>
      <c r="K215" s="0" t="n">
        <v>55.21</v>
      </c>
      <c r="L215" s="0" t="n">
        <v>55.21</v>
      </c>
      <c r="M215" s="0" t="n">
        <v>0</v>
      </c>
      <c r="N215" s="0" t="n">
        <v>114290</v>
      </c>
      <c r="O215" s="0" t="n">
        <v>4</v>
      </c>
      <c r="P215" s="0" t="n">
        <v>0</v>
      </c>
      <c r="Q215" s="0" t="s">
        <v>34</v>
      </c>
      <c r="R215" s="0" t="n">
        <v>2828</v>
      </c>
      <c r="S215" s="0" t="n">
        <v>0</v>
      </c>
      <c r="T215" s="0" t="n">
        <v>0</v>
      </c>
      <c r="U215" s="0" t="n">
        <v>0</v>
      </c>
      <c r="V215" s="0" t="n">
        <v>3</v>
      </c>
      <c r="W215" s="0" t="n">
        <v>0</v>
      </c>
      <c r="X215" s="0" t="n">
        <v>4</v>
      </c>
      <c r="Y215" s="0" t="n">
        <v>5266</v>
      </c>
      <c r="Z215" s="0" t="s">
        <v>33</v>
      </c>
      <c r="AA215" s="0" t="s">
        <v>40</v>
      </c>
      <c r="AB215" s="0" t="n">
        <v>0</v>
      </c>
      <c r="AC215" s="0" t="n">
        <v>0</v>
      </c>
    </row>
    <row r="216" customFormat="false" ht="15" hidden="false" customHeight="false" outlineLevel="0" collapsed="false">
      <c r="A216" s="0" t="n">
        <v>1737</v>
      </c>
      <c r="B216" s="0" t="s">
        <v>36</v>
      </c>
      <c r="C216" s="0" t="s">
        <v>52</v>
      </c>
      <c r="D216" s="0" t="s">
        <v>31</v>
      </c>
      <c r="E216" s="0" t="s">
        <v>32</v>
      </c>
      <c r="F216" s="0" t="s">
        <v>34</v>
      </c>
      <c r="G216" s="0" t="s">
        <v>53</v>
      </c>
      <c r="H216" s="0" t="n">
        <v>3</v>
      </c>
      <c r="I216" s="0" t="n">
        <v>3</v>
      </c>
      <c r="J216" s="0" t="n">
        <v>0</v>
      </c>
      <c r="K216" s="0" t="n">
        <v>50.92</v>
      </c>
      <c r="L216" s="0" t="n">
        <v>51.06</v>
      </c>
      <c r="M216" s="0" t="n">
        <v>0.14</v>
      </c>
      <c r="N216" s="0" t="n">
        <v>81511</v>
      </c>
      <c r="O216" s="0" t="n">
        <v>1</v>
      </c>
      <c r="P216" s="0" t="n">
        <v>0</v>
      </c>
      <c r="Q216" s="0" t="s">
        <v>33</v>
      </c>
      <c r="R216" s="0" t="n">
        <v>3336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5</v>
      </c>
      <c r="Y216" s="0" t="n">
        <v>6528</v>
      </c>
      <c r="Z216" s="0" t="s">
        <v>33</v>
      </c>
      <c r="AA216" s="0" t="s">
        <v>40</v>
      </c>
      <c r="AB216" s="0" t="n">
        <v>0</v>
      </c>
      <c r="AC216" s="0" t="n">
        <v>0</v>
      </c>
    </row>
    <row r="217" customFormat="false" ht="15" hidden="false" customHeight="false" outlineLevel="0" collapsed="false">
      <c r="A217" s="0" t="n">
        <v>1745</v>
      </c>
      <c r="B217" s="0" t="s">
        <v>29</v>
      </c>
      <c r="C217" s="0" t="s">
        <v>43</v>
      </c>
      <c r="D217" s="0" t="s">
        <v>54</v>
      </c>
      <c r="E217" s="0" t="s">
        <v>50</v>
      </c>
      <c r="F217" s="0" t="s">
        <v>33</v>
      </c>
      <c r="H217" s="0" t="n">
        <v>6</v>
      </c>
      <c r="I217" s="0" t="n">
        <v>6</v>
      </c>
      <c r="J217" s="0" t="n">
        <v>0</v>
      </c>
      <c r="K217" s="0" t="n">
        <v>44.41</v>
      </c>
      <c r="L217" s="0" t="n">
        <v>44.41</v>
      </c>
      <c r="M217" s="0" t="n">
        <v>0</v>
      </c>
      <c r="N217" s="0" t="n">
        <v>157373</v>
      </c>
      <c r="O217" s="0" t="n">
        <v>4</v>
      </c>
      <c r="P217" s="0" t="n">
        <v>0</v>
      </c>
      <c r="Q217" s="0" t="s">
        <v>34</v>
      </c>
      <c r="R217" s="0" t="n">
        <v>2828</v>
      </c>
      <c r="S217" s="0" t="n">
        <v>0</v>
      </c>
      <c r="T217" s="0" t="n">
        <v>0</v>
      </c>
      <c r="U217" s="0" t="n">
        <v>0</v>
      </c>
      <c r="V217" s="0" t="n">
        <v>3</v>
      </c>
      <c r="W217" s="0" t="n">
        <v>0</v>
      </c>
      <c r="X217" s="0" t="n">
        <v>0</v>
      </c>
      <c r="Z217" s="0" t="s">
        <v>34</v>
      </c>
      <c r="AA217" s="0" t="s">
        <v>37</v>
      </c>
      <c r="AB217" s="0" t="n">
        <v>0</v>
      </c>
      <c r="AC217" s="0" t="n">
        <v>0</v>
      </c>
    </row>
    <row r="218" customFormat="false" ht="15" hidden="false" customHeight="false" outlineLevel="0" collapsed="false">
      <c r="A218" s="0" t="n">
        <v>1746</v>
      </c>
      <c r="B218" s="0" t="s">
        <v>29</v>
      </c>
      <c r="C218" s="0" t="s">
        <v>43</v>
      </c>
      <c r="D218" s="0" t="s">
        <v>31</v>
      </c>
      <c r="E218" s="0" t="s">
        <v>32</v>
      </c>
      <c r="F218" s="0" t="s">
        <v>33</v>
      </c>
      <c r="G218" s="0" t="s">
        <v>53</v>
      </c>
      <c r="H218" s="0" t="n">
        <v>5</v>
      </c>
      <c r="I218" s="0" t="n">
        <v>6</v>
      </c>
      <c r="J218" s="0" t="n">
        <v>1</v>
      </c>
      <c r="K218" s="0" t="n">
        <v>37.49</v>
      </c>
      <c r="L218" s="0" t="n">
        <v>36.97</v>
      </c>
      <c r="M218" s="0" t="n">
        <v>-0.52</v>
      </c>
      <c r="N218" s="0" t="n">
        <v>82757</v>
      </c>
      <c r="O218" s="0" t="n">
        <v>1</v>
      </c>
      <c r="P218" s="0" t="n">
        <v>0</v>
      </c>
      <c r="Q218" s="0" t="s">
        <v>33</v>
      </c>
      <c r="R218" s="0" t="n">
        <v>3336</v>
      </c>
      <c r="S218" s="0" t="n">
        <v>0</v>
      </c>
      <c r="T218" s="0" t="n">
        <v>0</v>
      </c>
      <c r="U218" s="0" t="n">
        <v>0</v>
      </c>
      <c r="V218" s="0" t="n">
        <v>1</v>
      </c>
      <c r="W218" s="0" t="n">
        <v>0</v>
      </c>
      <c r="X218" s="0" t="n">
        <v>0</v>
      </c>
      <c r="Z218" s="0" t="s">
        <v>33</v>
      </c>
      <c r="AA218" s="0" t="s">
        <v>40</v>
      </c>
      <c r="AB218" s="0" t="n">
        <v>0</v>
      </c>
      <c r="AC218" s="0" t="n">
        <v>0</v>
      </c>
    </row>
    <row r="219" customFormat="false" ht="15" hidden="false" customHeight="false" outlineLevel="0" collapsed="false">
      <c r="A219" s="0" t="n">
        <v>1755</v>
      </c>
      <c r="B219" s="0" t="s">
        <v>29</v>
      </c>
      <c r="C219" s="0" t="s">
        <v>38</v>
      </c>
      <c r="D219" s="0" t="s">
        <v>31</v>
      </c>
      <c r="E219" s="0" t="s">
        <v>32</v>
      </c>
      <c r="F219" s="0" t="s">
        <v>34</v>
      </c>
      <c r="G219" s="0" t="s">
        <v>53</v>
      </c>
      <c r="H219" s="0" t="n">
        <v>2</v>
      </c>
      <c r="I219" s="0" t="n">
        <v>2</v>
      </c>
      <c r="J219" s="0" t="n">
        <v>0</v>
      </c>
      <c r="K219" s="0" t="n">
        <v>73.27</v>
      </c>
      <c r="L219" s="0" t="n">
        <v>73.27</v>
      </c>
      <c r="M219" s="0" t="n">
        <v>0</v>
      </c>
      <c r="N219" s="0" t="n">
        <v>38082</v>
      </c>
      <c r="O219" s="0" t="n">
        <v>1</v>
      </c>
      <c r="P219" s="0" t="n">
        <v>0</v>
      </c>
      <c r="Q219" s="0" t="s">
        <v>33</v>
      </c>
      <c r="R219" s="0" t="n">
        <v>3336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2</v>
      </c>
      <c r="Y219" s="0" t="n">
        <v>3160</v>
      </c>
      <c r="Z219" s="0" t="s">
        <v>34</v>
      </c>
      <c r="AA219" s="0" t="s">
        <v>37</v>
      </c>
      <c r="AB219" s="0" t="n">
        <v>0</v>
      </c>
      <c r="AC219" s="0" t="n">
        <v>0</v>
      </c>
    </row>
    <row r="220" customFormat="false" ht="15" hidden="false" customHeight="false" outlineLevel="0" collapsed="false">
      <c r="A220" s="0" t="n">
        <v>1785</v>
      </c>
      <c r="B220" s="0" t="s">
        <v>36</v>
      </c>
      <c r="C220" s="0" t="s">
        <v>30</v>
      </c>
      <c r="D220" s="0" t="s">
        <v>31</v>
      </c>
      <c r="E220" s="0" t="s">
        <v>32</v>
      </c>
      <c r="F220" s="0" t="s">
        <v>33</v>
      </c>
      <c r="G220" s="0" t="s">
        <v>53</v>
      </c>
      <c r="H220" s="0" t="n">
        <v>5</v>
      </c>
      <c r="I220" s="0" t="n">
        <v>4</v>
      </c>
      <c r="J220" s="0" t="n">
        <v>-1</v>
      </c>
      <c r="K220" s="0" t="n">
        <v>59.98</v>
      </c>
      <c r="L220" s="0" t="n">
        <v>59.67</v>
      </c>
      <c r="M220" s="0" t="n">
        <v>-0.31</v>
      </c>
      <c r="N220" s="0" t="n">
        <v>105944</v>
      </c>
      <c r="O220" s="0" t="n">
        <v>2</v>
      </c>
      <c r="P220" s="0" t="n">
        <v>0</v>
      </c>
      <c r="Q220" s="0" t="s">
        <v>33</v>
      </c>
      <c r="R220" s="0" t="n">
        <v>3336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1</v>
      </c>
      <c r="X220" s="0" t="n">
        <v>4</v>
      </c>
      <c r="Y220" s="0" t="n">
        <v>3994</v>
      </c>
      <c r="Z220" s="0" t="s">
        <v>34</v>
      </c>
      <c r="AA220" s="0" t="s">
        <v>37</v>
      </c>
      <c r="AB220" s="0" t="n">
        <v>0</v>
      </c>
      <c r="AC220" s="0" t="n">
        <v>0</v>
      </c>
    </row>
    <row r="221" customFormat="false" ht="15" hidden="false" customHeight="false" outlineLevel="0" collapsed="false">
      <c r="A221" s="0" t="n">
        <v>1792</v>
      </c>
      <c r="B221" s="0" t="s">
        <v>29</v>
      </c>
      <c r="C221" s="0" t="s">
        <v>52</v>
      </c>
      <c r="D221" s="0" t="s">
        <v>31</v>
      </c>
      <c r="E221" s="0" t="s">
        <v>32</v>
      </c>
      <c r="F221" s="0" t="s">
        <v>34</v>
      </c>
      <c r="G221" s="0" t="s">
        <v>53</v>
      </c>
      <c r="H221" s="0" t="n">
        <v>2</v>
      </c>
      <c r="I221" s="0" t="n">
        <v>2</v>
      </c>
      <c r="J221" s="0" t="n">
        <v>0</v>
      </c>
      <c r="K221" s="0" t="n">
        <v>54.31</v>
      </c>
      <c r="L221" s="0" t="n">
        <v>52.34</v>
      </c>
      <c r="M221" s="0" t="n">
        <v>-1.97</v>
      </c>
      <c r="N221" s="0" t="n">
        <v>64290</v>
      </c>
      <c r="O221" s="0" t="n">
        <v>1</v>
      </c>
      <c r="P221" s="0" t="n">
        <v>0</v>
      </c>
      <c r="Q221" s="0" t="s">
        <v>33</v>
      </c>
      <c r="R221" s="0" t="n">
        <v>3336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4</v>
      </c>
      <c r="Y221" s="0" t="n">
        <v>5134</v>
      </c>
      <c r="Z221" s="0" t="s">
        <v>34</v>
      </c>
      <c r="AA221" s="0" t="s">
        <v>37</v>
      </c>
      <c r="AB221" s="0" t="n">
        <v>0</v>
      </c>
      <c r="AC221" s="0" t="n">
        <v>0</v>
      </c>
    </row>
    <row r="222" customFormat="false" ht="15" hidden="false" customHeight="false" outlineLevel="0" collapsed="false">
      <c r="A222" s="0" t="n">
        <v>1793</v>
      </c>
      <c r="B222" s="0" t="s">
        <v>36</v>
      </c>
      <c r="C222" s="0" t="s">
        <v>30</v>
      </c>
      <c r="D222" s="0" t="s">
        <v>31</v>
      </c>
      <c r="E222" s="0" t="s">
        <v>32</v>
      </c>
      <c r="F222" s="0" t="s">
        <v>34</v>
      </c>
      <c r="G222" s="0" t="s">
        <v>53</v>
      </c>
      <c r="H222" s="0" t="n">
        <v>4</v>
      </c>
      <c r="I222" s="0" t="n">
        <v>4</v>
      </c>
      <c r="J222" s="0" t="n">
        <v>0</v>
      </c>
      <c r="K222" s="0" t="n">
        <v>48.89</v>
      </c>
      <c r="L222" s="0" t="n">
        <v>43.12</v>
      </c>
      <c r="M222" s="0" t="n">
        <v>-5.77</v>
      </c>
      <c r="N222" s="0" t="n">
        <v>89186</v>
      </c>
      <c r="O222" s="0" t="n">
        <v>1</v>
      </c>
      <c r="P222" s="0" t="n">
        <v>0</v>
      </c>
      <c r="Q222" s="0" t="s">
        <v>33</v>
      </c>
      <c r="R222" s="0" t="n">
        <v>3336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4</v>
      </c>
      <c r="Y222" s="0" t="n">
        <v>7107</v>
      </c>
      <c r="Z222" s="0" t="s">
        <v>34</v>
      </c>
      <c r="AA222" s="0" t="s">
        <v>37</v>
      </c>
      <c r="AB222" s="0" t="n">
        <v>0</v>
      </c>
      <c r="AC222" s="0" t="n">
        <v>0</v>
      </c>
    </row>
    <row r="223" customFormat="false" ht="15" hidden="false" customHeight="false" outlineLevel="0" collapsed="false">
      <c r="A223" s="0" t="n">
        <v>1820</v>
      </c>
      <c r="B223" s="0" t="s">
        <v>29</v>
      </c>
      <c r="C223" s="0" t="s">
        <v>48</v>
      </c>
      <c r="D223" s="0" t="s">
        <v>31</v>
      </c>
      <c r="E223" s="0" t="s">
        <v>32</v>
      </c>
      <c r="F223" s="0" t="s">
        <v>33</v>
      </c>
      <c r="G223" s="0" t="s">
        <v>53</v>
      </c>
      <c r="H223" s="0" t="n">
        <v>5</v>
      </c>
      <c r="I223" s="0" t="n">
        <v>1</v>
      </c>
      <c r="J223" s="0" t="n">
        <v>-4</v>
      </c>
      <c r="K223" s="0" t="n">
        <v>63.36</v>
      </c>
      <c r="L223" s="0" t="n">
        <v>67.59</v>
      </c>
      <c r="M223" s="0" t="n">
        <v>4.23</v>
      </c>
      <c r="N223" s="0" t="n">
        <v>89788</v>
      </c>
      <c r="O223" s="0" t="n">
        <v>2</v>
      </c>
      <c r="P223" s="0" t="n">
        <v>0</v>
      </c>
      <c r="Q223" s="0" t="s">
        <v>33</v>
      </c>
      <c r="R223" s="0" t="n">
        <v>3336</v>
      </c>
      <c r="S223" s="0" t="n">
        <v>0</v>
      </c>
      <c r="T223" s="0" t="n">
        <v>0</v>
      </c>
      <c r="U223" s="0" t="n">
        <v>0</v>
      </c>
      <c r="V223" s="0" t="n">
        <v>2</v>
      </c>
      <c r="W223" s="0" t="n">
        <v>0</v>
      </c>
      <c r="X223" s="0" t="n">
        <v>3</v>
      </c>
      <c r="Y223" s="0" t="n">
        <v>4842</v>
      </c>
      <c r="Z223" s="0" t="s">
        <v>33</v>
      </c>
      <c r="AA223" s="0" t="s">
        <v>40</v>
      </c>
      <c r="AB223" s="0" t="n">
        <v>0</v>
      </c>
      <c r="AC223" s="0" t="n">
        <v>0</v>
      </c>
    </row>
    <row r="224" customFormat="false" ht="15" hidden="false" customHeight="false" outlineLevel="0" collapsed="false">
      <c r="A224" s="0" t="n">
        <v>1854</v>
      </c>
      <c r="B224" s="0" t="s">
        <v>36</v>
      </c>
      <c r="C224" s="0" t="s">
        <v>30</v>
      </c>
      <c r="D224" s="0" t="s">
        <v>31</v>
      </c>
      <c r="E224" s="0" t="s">
        <v>32</v>
      </c>
      <c r="F224" s="0" t="s">
        <v>34</v>
      </c>
      <c r="G224" s="0" t="s">
        <v>53</v>
      </c>
      <c r="H224" s="0" t="n">
        <v>4</v>
      </c>
      <c r="I224" s="0" t="n">
        <v>4</v>
      </c>
      <c r="J224" s="0" t="n">
        <v>0</v>
      </c>
      <c r="K224" s="0" t="n">
        <v>35.59</v>
      </c>
      <c r="L224" s="0" t="n">
        <v>33.58</v>
      </c>
      <c r="M224" s="0" t="n">
        <v>-2.01</v>
      </c>
      <c r="N224" s="0" t="n">
        <v>122583</v>
      </c>
      <c r="O224" s="0" t="n">
        <v>1</v>
      </c>
      <c r="P224" s="0" t="n">
        <v>0</v>
      </c>
      <c r="Q224" s="0" t="s">
        <v>33</v>
      </c>
      <c r="R224" s="0" t="n">
        <v>3336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4</v>
      </c>
      <c r="Y224" s="0" t="n">
        <v>10940</v>
      </c>
      <c r="Z224" s="0" t="s">
        <v>34</v>
      </c>
      <c r="AA224" s="0" t="s">
        <v>37</v>
      </c>
      <c r="AB224" s="0" t="n">
        <v>0</v>
      </c>
      <c r="AC224" s="0" t="n">
        <v>0</v>
      </c>
    </row>
    <row r="225" customFormat="false" ht="15" hidden="false" customHeight="false" outlineLevel="0" collapsed="false">
      <c r="A225" s="0" t="n">
        <v>1860</v>
      </c>
      <c r="B225" s="0" t="s">
        <v>42</v>
      </c>
      <c r="C225" s="0" t="s">
        <v>43</v>
      </c>
      <c r="D225" s="0" t="s">
        <v>54</v>
      </c>
      <c r="E225" s="0" t="s">
        <v>50</v>
      </c>
      <c r="F225" s="0" t="s">
        <v>33</v>
      </c>
      <c r="H225" s="0" t="n">
        <v>6</v>
      </c>
      <c r="I225" s="0" t="n">
        <v>6</v>
      </c>
      <c r="J225" s="0" t="n">
        <v>0</v>
      </c>
      <c r="K225" s="0" t="n">
        <v>60.03</v>
      </c>
      <c r="L225" s="0" t="n">
        <v>60.03</v>
      </c>
      <c r="M225" s="0" t="n">
        <v>0</v>
      </c>
      <c r="N225" s="0" t="n">
        <v>107754</v>
      </c>
      <c r="O225" s="0" t="n">
        <v>4</v>
      </c>
      <c r="P225" s="0" t="n">
        <v>0</v>
      </c>
      <c r="Q225" s="0" t="s">
        <v>34</v>
      </c>
      <c r="R225" s="0" t="n">
        <v>2828</v>
      </c>
      <c r="S225" s="0" t="n">
        <v>0</v>
      </c>
      <c r="T225" s="0" t="n">
        <v>1</v>
      </c>
      <c r="U225" s="0" t="n">
        <v>0</v>
      </c>
      <c r="V225" s="0" t="n">
        <v>2</v>
      </c>
      <c r="W225" s="0" t="n">
        <v>0</v>
      </c>
      <c r="X225" s="0" t="n">
        <v>0</v>
      </c>
      <c r="Z225" s="0" t="s">
        <v>34</v>
      </c>
      <c r="AA225" s="0" t="s">
        <v>37</v>
      </c>
      <c r="AB225" s="0" t="n">
        <v>0</v>
      </c>
      <c r="AC225" s="0" t="n">
        <v>0</v>
      </c>
    </row>
    <row r="226" customFormat="false" ht="15" hidden="false" customHeight="false" outlineLevel="0" collapsed="false">
      <c r="A226" s="0" t="n">
        <v>1861</v>
      </c>
      <c r="B226" s="0" t="s">
        <v>29</v>
      </c>
      <c r="C226" s="0" t="s">
        <v>30</v>
      </c>
      <c r="D226" s="0" t="s">
        <v>54</v>
      </c>
      <c r="E226" s="0" t="s">
        <v>50</v>
      </c>
      <c r="F226" s="0" t="s">
        <v>33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236534</v>
      </c>
      <c r="O226" s="0" t="n">
        <v>4</v>
      </c>
      <c r="P226" s="0" t="n">
        <v>0</v>
      </c>
      <c r="Q226" s="0" t="s">
        <v>34</v>
      </c>
      <c r="R226" s="0" t="n">
        <v>2828</v>
      </c>
      <c r="S226" s="0" t="n">
        <v>3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6</v>
      </c>
      <c r="Y226" s="0" t="n">
        <v>11955</v>
      </c>
      <c r="Z226" s="0" t="s">
        <v>33</v>
      </c>
      <c r="AA226" s="0" t="s">
        <v>40</v>
      </c>
      <c r="AB226" s="0" t="n">
        <v>0</v>
      </c>
      <c r="AC226" s="0" t="n">
        <v>0</v>
      </c>
    </row>
    <row r="227" customFormat="false" ht="15" hidden="false" customHeight="false" outlineLevel="0" collapsed="false">
      <c r="A227" s="0" t="n">
        <v>1895</v>
      </c>
      <c r="B227" s="0" t="s">
        <v>29</v>
      </c>
      <c r="C227" s="0" t="s">
        <v>39</v>
      </c>
      <c r="D227" s="0" t="s">
        <v>31</v>
      </c>
      <c r="E227" s="0" t="s">
        <v>32</v>
      </c>
      <c r="F227" s="0" t="s">
        <v>34</v>
      </c>
      <c r="G227" s="0" t="s">
        <v>53</v>
      </c>
      <c r="H227" s="0" t="n">
        <v>3</v>
      </c>
      <c r="I227" s="0" t="n">
        <v>3</v>
      </c>
      <c r="J227" s="0" t="n">
        <v>0</v>
      </c>
      <c r="K227" s="0" t="n">
        <v>62.16</v>
      </c>
      <c r="L227" s="0" t="n">
        <v>57.11</v>
      </c>
      <c r="M227" s="0" t="n">
        <v>-5.05</v>
      </c>
      <c r="N227" s="0" t="n">
        <v>81046</v>
      </c>
      <c r="O227" s="0" t="n">
        <v>1</v>
      </c>
      <c r="P227" s="0" t="n">
        <v>0</v>
      </c>
      <c r="Q227" s="0" t="s">
        <v>33</v>
      </c>
      <c r="R227" s="0" t="n">
        <v>3336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5</v>
      </c>
      <c r="Y227" s="0" t="n">
        <v>6717</v>
      </c>
      <c r="Z227" s="0" t="s">
        <v>34</v>
      </c>
      <c r="AA227" s="0" t="s">
        <v>37</v>
      </c>
      <c r="AB227" s="0" t="n">
        <v>0</v>
      </c>
      <c r="AC227" s="0" t="n">
        <v>0</v>
      </c>
    </row>
    <row r="228" customFormat="false" ht="15" hidden="false" customHeight="false" outlineLevel="0" collapsed="false">
      <c r="A228" s="0" t="n">
        <v>1896</v>
      </c>
      <c r="B228" s="0" t="s">
        <v>36</v>
      </c>
      <c r="C228" s="0" t="s">
        <v>38</v>
      </c>
      <c r="D228" s="0" t="s">
        <v>31</v>
      </c>
      <c r="E228" s="0" t="s">
        <v>32</v>
      </c>
      <c r="F228" s="0" t="s">
        <v>34</v>
      </c>
      <c r="G228" s="0" t="s">
        <v>53</v>
      </c>
      <c r="H228" s="0" t="n">
        <v>2</v>
      </c>
      <c r="I228" s="0" t="n">
        <v>2</v>
      </c>
      <c r="J228" s="0" t="n">
        <v>0</v>
      </c>
      <c r="K228" s="0" t="n">
        <v>63.94</v>
      </c>
      <c r="L228" s="0" t="n">
        <v>44.94</v>
      </c>
      <c r="M228" s="0" t="n">
        <v>-19</v>
      </c>
      <c r="N228" s="0" t="n">
        <v>52612</v>
      </c>
      <c r="O228" s="0" t="n">
        <v>1</v>
      </c>
      <c r="P228" s="0" t="n">
        <v>0</v>
      </c>
      <c r="Q228" s="0" t="s">
        <v>33</v>
      </c>
      <c r="R228" s="0" t="n">
        <v>3336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3</v>
      </c>
      <c r="Y228" s="0" t="n">
        <v>4450</v>
      </c>
      <c r="Z228" s="0" t="s">
        <v>33</v>
      </c>
      <c r="AA228" s="0" t="s">
        <v>40</v>
      </c>
      <c r="AB228" s="0" t="n">
        <v>0</v>
      </c>
      <c r="AC228" s="0" t="n">
        <v>0</v>
      </c>
    </row>
    <row r="229" customFormat="false" ht="15" hidden="false" customHeight="false" outlineLevel="0" collapsed="false">
      <c r="A229" s="0" t="n">
        <v>1905</v>
      </c>
      <c r="B229" s="0" t="s">
        <v>36</v>
      </c>
      <c r="C229" s="0" t="s">
        <v>39</v>
      </c>
      <c r="D229" s="0" t="s">
        <v>31</v>
      </c>
      <c r="E229" s="0" t="s">
        <v>32</v>
      </c>
      <c r="F229" s="0" t="s">
        <v>34</v>
      </c>
      <c r="G229" s="0" t="s">
        <v>53</v>
      </c>
      <c r="H229" s="0" t="n">
        <v>4</v>
      </c>
      <c r="I229" s="0" t="n">
        <v>3</v>
      </c>
      <c r="J229" s="0" t="n">
        <v>-1</v>
      </c>
      <c r="K229" s="0" t="n">
        <v>54.65</v>
      </c>
      <c r="L229" s="0" t="n">
        <v>50.3</v>
      </c>
      <c r="M229" s="0" t="n">
        <v>-4.35</v>
      </c>
      <c r="N229" s="0" t="n">
        <v>83130</v>
      </c>
      <c r="O229" s="0" t="n">
        <v>1</v>
      </c>
      <c r="P229" s="0" t="n">
        <v>0</v>
      </c>
      <c r="Q229" s="0" t="s">
        <v>33</v>
      </c>
      <c r="R229" s="0" t="n">
        <v>3336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5</v>
      </c>
      <c r="Y229" s="0" t="n">
        <v>5961</v>
      </c>
      <c r="Z229" s="0" t="s">
        <v>34</v>
      </c>
      <c r="AA229" s="0" t="s">
        <v>37</v>
      </c>
      <c r="AB229" s="0" t="n">
        <v>0</v>
      </c>
      <c r="AC229" s="0" t="n">
        <v>0</v>
      </c>
    </row>
    <row r="230" customFormat="false" ht="15" hidden="false" customHeight="false" outlineLevel="0" collapsed="false">
      <c r="A230" s="0" t="n">
        <v>1908</v>
      </c>
      <c r="B230" s="0" t="s">
        <v>29</v>
      </c>
      <c r="C230" s="0" t="s">
        <v>48</v>
      </c>
      <c r="D230" s="0" t="s">
        <v>31</v>
      </c>
      <c r="E230" s="0" t="s">
        <v>32</v>
      </c>
      <c r="F230" s="0" t="s">
        <v>34</v>
      </c>
      <c r="G230" s="0" t="s">
        <v>53</v>
      </c>
      <c r="H230" s="0" t="n">
        <v>3</v>
      </c>
      <c r="I230" s="0" t="n">
        <v>1</v>
      </c>
      <c r="J230" s="0" t="n">
        <v>-2</v>
      </c>
      <c r="K230" s="0" t="n">
        <v>75.08</v>
      </c>
      <c r="L230" s="0" t="n">
        <v>83.39</v>
      </c>
      <c r="M230" s="0" t="n">
        <v>8.31</v>
      </c>
      <c r="N230" s="0" t="n">
        <v>55363</v>
      </c>
      <c r="O230" s="0" t="n">
        <v>1</v>
      </c>
      <c r="P230" s="0" t="n">
        <v>0</v>
      </c>
      <c r="Q230" s="0" t="s">
        <v>33</v>
      </c>
      <c r="R230" s="0" t="n">
        <v>3336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4</v>
      </c>
      <c r="Y230" s="0" t="n">
        <v>2822</v>
      </c>
      <c r="Z230" s="0" t="s">
        <v>33</v>
      </c>
      <c r="AA230" s="0" t="s">
        <v>40</v>
      </c>
      <c r="AB230" s="0" t="n">
        <v>0</v>
      </c>
      <c r="AC230" s="0" t="n">
        <v>0</v>
      </c>
    </row>
    <row r="231" customFormat="false" ht="15" hidden="false" customHeight="false" outlineLevel="0" collapsed="false">
      <c r="A231" s="0" t="n">
        <v>1956</v>
      </c>
      <c r="B231" s="0" t="s">
        <v>29</v>
      </c>
      <c r="C231" s="0" t="s">
        <v>39</v>
      </c>
      <c r="D231" s="0" t="s">
        <v>31</v>
      </c>
      <c r="E231" s="0" t="s">
        <v>32</v>
      </c>
      <c r="F231" s="0" t="s">
        <v>34</v>
      </c>
      <c r="G231" s="0" t="s">
        <v>53</v>
      </c>
      <c r="H231" s="0" t="n">
        <v>3</v>
      </c>
      <c r="I231" s="0" t="n">
        <v>3</v>
      </c>
      <c r="J231" s="0" t="n">
        <v>0</v>
      </c>
      <c r="K231" s="0" t="n">
        <v>78.69</v>
      </c>
      <c r="L231" s="0" t="n">
        <v>70.99</v>
      </c>
      <c r="M231" s="0" t="n">
        <v>-7.7</v>
      </c>
      <c r="N231" s="0" t="n">
        <v>35724</v>
      </c>
      <c r="O231" s="0" t="n">
        <v>1</v>
      </c>
      <c r="P231" s="0" t="n">
        <v>0</v>
      </c>
      <c r="Q231" s="0" t="s">
        <v>33</v>
      </c>
      <c r="R231" s="0" t="n">
        <v>3336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2</v>
      </c>
      <c r="Y231" s="0" t="n">
        <v>3294</v>
      </c>
      <c r="Z231" s="0" t="s">
        <v>34</v>
      </c>
      <c r="AA231" s="0" t="s">
        <v>37</v>
      </c>
      <c r="AB231" s="0" t="n">
        <v>0</v>
      </c>
      <c r="AC231" s="0" t="n">
        <v>0</v>
      </c>
    </row>
    <row r="232" customFormat="false" ht="15" hidden="false" customHeight="false" outlineLevel="0" collapsed="false">
      <c r="A232" s="0" t="n">
        <v>2005</v>
      </c>
      <c r="B232" s="0" t="s">
        <v>42</v>
      </c>
      <c r="C232" s="0" t="s">
        <v>51</v>
      </c>
      <c r="D232" s="0" t="s">
        <v>31</v>
      </c>
      <c r="E232" s="0" t="s">
        <v>32</v>
      </c>
      <c r="F232" s="0" t="s">
        <v>34</v>
      </c>
      <c r="G232" s="0" t="s">
        <v>53</v>
      </c>
      <c r="H232" s="0" t="n">
        <v>5</v>
      </c>
      <c r="I232" s="0" t="n">
        <v>5</v>
      </c>
      <c r="J232" s="0" t="n">
        <v>0</v>
      </c>
      <c r="K232" s="0" t="n">
        <v>55.44</v>
      </c>
      <c r="L232" s="0" t="n">
        <v>50.36</v>
      </c>
      <c r="M232" s="0" t="n">
        <v>-5.08</v>
      </c>
      <c r="N232" s="0" t="n">
        <v>46042</v>
      </c>
      <c r="O232" s="0" t="n">
        <v>1</v>
      </c>
      <c r="P232" s="0" t="n">
        <v>0</v>
      </c>
      <c r="Q232" s="0" t="s">
        <v>33</v>
      </c>
      <c r="R232" s="0" t="n">
        <v>3336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Z232" s="0" t="s">
        <v>34</v>
      </c>
      <c r="AA232" s="0" t="s">
        <v>37</v>
      </c>
      <c r="AB232" s="0" t="n">
        <v>0</v>
      </c>
      <c r="AC232" s="0" t="n">
        <v>0</v>
      </c>
    </row>
    <row r="233" customFormat="false" ht="15" hidden="false" customHeight="false" outlineLevel="0" collapsed="false">
      <c r="A233" s="0" t="n">
        <v>2012</v>
      </c>
      <c r="B233" s="0" t="s">
        <v>42</v>
      </c>
      <c r="C233" s="0" t="s">
        <v>38</v>
      </c>
      <c r="D233" s="0" t="s">
        <v>31</v>
      </c>
      <c r="E233" s="0" t="s">
        <v>32</v>
      </c>
      <c r="F233" s="0" t="s">
        <v>34</v>
      </c>
      <c r="G233" s="0" t="s">
        <v>53</v>
      </c>
      <c r="H233" s="0" t="n">
        <v>5</v>
      </c>
      <c r="I233" s="0" t="n">
        <v>5</v>
      </c>
      <c r="J233" s="0" t="n">
        <v>0</v>
      </c>
      <c r="K233" s="0" t="n">
        <v>65.99</v>
      </c>
      <c r="L233" s="0" t="n">
        <v>65.99</v>
      </c>
      <c r="M233" s="0" t="n">
        <v>0</v>
      </c>
      <c r="N233" s="0" t="n">
        <v>38025</v>
      </c>
      <c r="O233" s="0" t="n">
        <v>1</v>
      </c>
      <c r="P233" s="0" t="n">
        <v>0</v>
      </c>
      <c r="Q233" s="0" t="s">
        <v>33</v>
      </c>
      <c r="R233" s="0" t="n">
        <v>3336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2</v>
      </c>
      <c r="Y233" s="0" t="n">
        <v>3656</v>
      </c>
      <c r="Z233" s="0" t="s">
        <v>34</v>
      </c>
      <c r="AA233" s="0" t="s">
        <v>37</v>
      </c>
      <c r="AB233" s="0" t="n">
        <v>0</v>
      </c>
      <c r="AC233" s="0" t="n">
        <v>0</v>
      </c>
    </row>
    <row r="234" customFormat="false" ht="15" hidden="false" customHeight="false" outlineLevel="0" collapsed="false">
      <c r="A234" s="0" t="n">
        <v>2013</v>
      </c>
      <c r="B234" s="0" t="s">
        <v>29</v>
      </c>
      <c r="C234" s="0" t="s">
        <v>41</v>
      </c>
      <c r="D234" s="0" t="s">
        <v>54</v>
      </c>
      <c r="E234" s="0" t="s">
        <v>50</v>
      </c>
      <c r="F234" s="0" t="s">
        <v>33</v>
      </c>
      <c r="H234" s="0" t="n">
        <v>10</v>
      </c>
      <c r="I234" s="0" t="n">
        <v>10</v>
      </c>
      <c r="J234" s="0" t="n">
        <v>0</v>
      </c>
      <c r="K234" s="0" t="n">
        <v>42.89</v>
      </c>
      <c r="L234" s="0" t="n">
        <v>42.89</v>
      </c>
      <c r="M234" s="0" t="n">
        <v>0</v>
      </c>
      <c r="N234" s="0" t="n">
        <v>111290</v>
      </c>
      <c r="O234" s="0" t="n">
        <v>4</v>
      </c>
      <c r="P234" s="0" t="n">
        <v>0</v>
      </c>
      <c r="Q234" s="0" t="s">
        <v>34</v>
      </c>
      <c r="R234" s="0" t="n">
        <v>2828</v>
      </c>
      <c r="S234" s="0" t="n">
        <v>0</v>
      </c>
      <c r="T234" s="0" t="n">
        <v>0</v>
      </c>
      <c r="U234" s="0" t="n">
        <v>0</v>
      </c>
      <c r="V234" s="0" t="n">
        <v>3</v>
      </c>
      <c r="W234" s="0" t="n">
        <v>0</v>
      </c>
      <c r="X234" s="0" t="n">
        <v>0</v>
      </c>
      <c r="Z234" s="0" t="s">
        <v>34</v>
      </c>
      <c r="AA234" s="0" t="s">
        <v>37</v>
      </c>
      <c r="AB234" s="0" t="n">
        <v>0</v>
      </c>
      <c r="AC234" s="0" t="n">
        <v>0</v>
      </c>
    </row>
    <row r="235" customFormat="false" ht="15" hidden="false" customHeight="false" outlineLevel="0" collapsed="false">
      <c r="A235" s="0" t="n">
        <v>2092</v>
      </c>
      <c r="B235" s="0" t="s">
        <v>29</v>
      </c>
      <c r="C235" s="0" t="s">
        <v>30</v>
      </c>
      <c r="D235" s="0" t="s">
        <v>31</v>
      </c>
      <c r="E235" s="0" t="s">
        <v>32</v>
      </c>
      <c r="F235" s="0" t="s">
        <v>34</v>
      </c>
      <c r="G235" s="0" t="s">
        <v>53</v>
      </c>
      <c r="H235" s="0" t="n">
        <v>6</v>
      </c>
      <c r="I235" s="0" t="n">
        <v>8</v>
      </c>
      <c r="J235" s="0" t="n">
        <v>2</v>
      </c>
      <c r="K235" s="0" t="n">
        <v>55.14</v>
      </c>
      <c r="L235" s="0" t="n">
        <v>46.88</v>
      </c>
      <c r="M235" s="0" t="n">
        <v>-8.26</v>
      </c>
      <c r="N235" s="0" t="n">
        <v>84703</v>
      </c>
      <c r="O235" s="0" t="n">
        <v>1</v>
      </c>
      <c r="P235" s="0" t="n">
        <v>0</v>
      </c>
      <c r="Q235" s="0" t="s">
        <v>33</v>
      </c>
      <c r="R235" s="0" t="n">
        <v>3336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4</v>
      </c>
      <c r="Y235" s="0" t="n">
        <v>5509</v>
      </c>
      <c r="Z235" s="0" t="s">
        <v>34</v>
      </c>
      <c r="AA235" s="0" t="s">
        <v>37</v>
      </c>
      <c r="AB235" s="0" t="n">
        <v>0</v>
      </c>
      <c r="AC235" s="0" t="n">
        <v>0</v>
      </c>
    </row>
    <row r="236" customFormat="false" ht="15" hidden="false" customHeight="false" outlineLevel="0" collapsed="false">
      <c r="A236" s="0" t="n">
        <v>2093</v>
      </c>
      <c r="B236" s="0" t="s">
        <v>29</v>
      </c>
      <c r="C236" s="0" t="s">
        <v>38</v>
      </c>
      <c r="D236" s="0" t="s">
        <v>31</v>
      </c>
      <c r="E236" s="0" t="s">
        <v>32</v>
      </c>
      <c r="F236" s="0" t="s">
        <v>34</v>
      </c>
      <c r="G236" s="0" t="s">
        <v>53</v>
      </c>
      <c r="H236" s="0" t="n">
        <v>2</v>
      </c>
      <c r="I236" s="0" t="n">
        <v>2</v>
      </c>
      <c r="J236" s="0" t="n">
        <v>0</v>
      </c>
      <c r="K236" s="0" t="n">
        <v>61.38</v>
      </c>
      <c r="L236" s="0" t="n">
        <v>61.38</v>
      </c>
      <c r="M236" s="0" t="n">
        <v>0</v>
      </c>
      <c r="N236" s="0" t="n">
        <v>48639</v>
      </c>
      <c r="O236" s="0" t="n">
        <v>1</v>
      </c>
      <c r="P236" s="0" t="n">
        <v>0</v>
      </c>
      <c r="Q236" s="0" t="s">
        <v>33</v>
      </c>
      <c r="R236" s="0" t="n">
        <v>3336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2</v>
      </c>
      <c r="Y236" s="0" t="n">
        <v>4850</v>
      </c>
      <c r="Z236" s="0" t="s">
        <v>34</v>
      </c>
      <c r="AA236" s="0" t="s">
        <v>37</v>
      </c>
      <c r="AB236" s="0" t="n">
        <v>0</v>
      </c>
      <c r="AC236" s="0" t="n">
        <v>0</v>
      </c>
    </row>
    <row r="237" customFormat="false" ht="15" hidden="false" customHeight="false" outlineLevel="0" collapsed="false">
      <c r="A237" s="0" t="n">
        <v>2095</v>
      </c>
      <c r="B237" s="0" t="s">
        <v>42</v>
      </c>
      <c r="C237" s="0" t="s">
        <v>47</v>
      </c>
      <c r="D237" s="0" t="s">
        <v>31</v>
      </c>
      <c r="E237" s="0" t="s">
        <v>32</v>
      </c>
      <c r="F237" s="0" t="s">
        <v>34</v>
      </c>
      <c r="G237" s="0" t="s">
        <v>53</v>
      </c>
      <c r="H237" s="0" t="n">
        <v>1</v>
      </c>
      <c r="I237" s="0" t="n">
        <v>1</v>
      </c>
      <c r="J237" s="0" t="n">
        <v>0</v>
      </c>
      <c r="K237" s="0" t="n">
        <v>68.65</v>
      </c>
      <c r="L237" s="0" t="n">
        <v>83.3</v>
      </c>
      <c r="M237" s="0" t="n">
        <v>14.65</v>
      </c>
      <c r="N237" s="0" t="n">
        <v>39545</v>
      </c>
      <c r="O237" s="0" t="n">
        <v>1</v>
      </c>
      <c r="P237" s="0" t="n">
        <v>0</v>
      </c>
      <c r="Q237" s="0" t="s">
        <v>33</v>
      </c>
      <c r="R237" s="0" t="n">
        <v>3336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Z237" s="0" t="s">
        <v>34</v>
      </c>
      <c r="AA237" s="0" t="s">
        <v>37</v>
      </c>
      <c r="AB237" s="0" t="n">
        <v>0</v>
      </c>
      <c r="AC237" s="0" t="n">
        <v>0</v>
      </c>
    </row>
    <row r="238" customFormat="false" ht="15" hidden="false" customHeight="false" outlineLevel="0" collapsed="false">
      <c r="A238" s="0" t="n">
        <v>2101</v>
      </c>
      <c r="B238" s="0" t="s">
        <v>29</v>
      </c>
      <c r="C238" s="0" t="s">
        <v>46</v>
      </c>
      <c r="D238" s="0" t="s">
        <v>31</v>
      </c>
      <c r="E238" s="0" t="s">
        <v>32</v>
      </c>
      <c r="F238" s="0" t="s">
        <v>34</v>
      </c>
      <c r="G238" s="0" t="s">
        <v>53</v>
      </c>
      <c r="H238" s="0" t="n">
        <v>4</v>
      </c>
      <c r="I238" s="0" t="n">
        <v>5</v>
      </c>
      <c r="J238" s="0" t="n">
        <v>1</v>
      </c>
      <c r="K238" s="0" t="n">
        <v>55.23</v>
      </c>
      <c r="L238" s="0" t="n">
        <v>49.59</v>
      </c>
      <c r="M238" s="0" t="n">
        <v>-5.64</v>
      </c>
      <c r="N238" s="0" t="n">
        <v>60180</v>
      </c>
      <c r="O238" s="0" t="n">
        <v>1</v>
      </c>
      <c r="P238" s="0" t="n">
        <v>0</v>
      </c>
      <c r="Q238" s="0" t="s">
        <v>33</v>
      </c>
      <c r="R238" s="0" t="n">
        <v>3336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2</v>
      </c>
      <c r="Y238" s="0" t="n">
        <v>7549</v>
      </c>
      <c r="Z238" s="0" t="s">
        <v>33</v>
      </c>
      <c r="AA238" s="0" t="s">
        <v>40</v>
      </c>
      <c r="AB238" s="0" t="n">
        <v>0</v>
      </c>
      <c r="AC238" s="0" t="n">
        <v>0</v>
      </c>
    </row>
    <row r="239" customFormat="false" ht="15" hidden="false" customHeight="false" outlineLevel="0" collapsed="false">
      <c r="A239" s="0" t="n">
        <v>2103</v>
      </c>
      <c r="B239" s="0" t="s">
        <v>36</v>
      </c>
      <c r="C239" s="0" t="s">
        <v>51</v>
      </c>
      <c r="D239" s="0" t="s">
        <v>31</v>
      </c>
      <c r="E239" s="0" t="s">
        <v>32</v>
      </c>
      <c r="F239" s="0" t="s">
        <v>33</v>
      </c>
      <c r="G239" s="0" t="s">
        <v>53</v>
      </c>
      <c r="H239" s="0" t="n">
        <v>8</v>
      </c>
      <c r="I239" s="0" t="n">
        <v>7</v>
      </c>
      <c r="J239" s="0" t="n">
        <v>-1</v>
      </c>
      <c r="K239" s="0" t="n">
        <v>48.11</v>
      </c>
      <c r="L239" s="0" t="n">
        <v>53.44</v>
      </c>
      <c r="M239" s="0" t="n">
        <v>5.33</v>
      </c>
      <c r="N239" s="0" t="n">
        <v>93467</v>
      </c>
      <c r="O239" s="0" t="n">
        <v>2</v>
      </c>
      <c r="P239" s="0" t="n">
        <v>0</v>
      </c>
      <c r="Q239" s="0" t="s">
        <v>33</v>
      </c>
      <c r="R239" s="0" t="n">
        <v>3336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1</v>
      </c>
      <c r="X239" s="0" t="n">
        <v>0</v>
      </c>
      <c r="Z239" s="0" t="s">
        <v>33</v>
      </c>
      <c r="AA239" s="0" t="s">
        <v>40</v>
      </c>
      <c r="AB239" s="0" t="n">
        <v>0</v>
      </c>
      <c r="AC239" s="0" t="n">
        <v>0</v>
      </c>
    </row>
    <row r="240" customFormat="false" ht="15" hidden="false" customHeight="false" outlineLevel="0" collapsed="false">
      <c r="A240" s="0" t="n">
        <v>2106</v>
      </c>
      <c r="B240" s="0" t="s">
        <v>29</v>
      </c>
      <c r="C240" s="0" t="s">
        <v>48</v>
      </c>
      <c r="D240" s="0" t="s">
        <v>31</v>
      </c>
      <c r="E240" s="0" t="s">
        <v>32</v>
      </c>
      <c r="F240" s="0" t="s">
        <v>34</v>
      </c>
      <c r="G240" s="0" t="s">
        <v>53</v>
      </c>
      <c r="H240" s="0" t="n">
        <v>3</v>
      </c>
      <c r="I240" s="0" t="n">
        <v>2</v>
      </c>
      <c r="J240" s="0" t="n">
        <v>-1</v>
      </c>
      <c r="K240" s="0" t="n">
        <v>70.12</v>
      </c>
      <c r="L240" s="0" t="n">
        <v>67.53</v>
      </c>
      <c r="M240" s="0" t="n">
        <v>-2.59</v>
      </c>
      <c r="N240" s="0" t="n">
        <v>57412</v>
      </c>
      <c r="O240" s="0" t="n">
        <v>1</v>
      </c>
      <c r="P240" s="0" t="n">
        <v>0</v>
      </c>
      <c r="Q240" s="0" t="s">
        <v>33</v>
      </c>
      <c r="R240" s="0" t="n">
        <v>3336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3</v>
      </c>
      <c r="Y240" s="0" t="n">
        <v>3720</v>
      </c>
      <c r="Z240" s="0" t="s">
        <v>33</v>
      </c>
      <c r="AA240" s="0" t="s">
        <v>40</v>
      </c>
      <c r="AB240" s="0" t="n">
        <v>0</v>
      </c>
      <c r="AC240" s="0" t="n">
        <v>0</v>
      </c>
    </row>
    <row r="241" customFormat="false" ht="15" hidden="false" customHeight="false" outlineLevel="0" collapsed="false">
      <c r="A241" s="0" t="n">
        <v>2121</v>
      </c>
      <c r="B241" s="0" t="s">
        <v>29</v>
      </c>
      <c r="C241" s="0" t="s">
        <v>48</v>
      </c>
      <c r="D241" s="0" t="s">
        <v>31</v>
      </c>
      <c r="E241" s="0" t="s">
        <v>32</v>
      </c>
      <c r="F241" s="0" t="s">
        <v>33</v>
      </c>
      <c r="G241" s="0" t="s">
        <v>53</v>
      </c>
      <c r="H241" s="0" t="n">
        <v>4</v>
      </c>
      <c r="I241" s="0" t="n">
        <v>1</v>
      </c>
      <c r="J241" s="0" t="n">
        <v>-3</v>
      </c>
      <c r="K241" s="0" t="n">
        <v>60.56</v>
      </c>
      <c r="L241" s="0" t="n">
        <v>55.41</v>
      </c>
      <c r="M241" s="0" t="n">
        <v>-5.15</v>
      </c>
      <c r="N241" s="0" t="n">
        <v>71600</v>
      </c>
      <c r="O241" s="0" t="n">
        <v>2</v>
      </c>
      <c r="P241" s="0" t="n">
        <v>0</v>
      </c>
      <c r="Q241" s="0" t="s">
        <v>33</v>
      </c>
      <c r="R241" s="0" t="n">
        <v>3336</v>
      </c>
      <c r="S241" s="0" t="n">
        <v>0</v>
      </c>
      <c r="T241" s="0" t="n">
        <v>0</v>
      </c>
      <c r="U241" s="0" t="n">
        <v>0</v>
      </c>
      <c r="V241" s="0" t="n">
        <v>2</v>
      </c>
      <c r="W241" s="0" t="n">
        <v>0</v>
      </c>
      <c r="X241" s="0" t="n">
        <v>2</v>
      </c>
      <c r="Y241" s="0" t="n">
        <v>5132</v>
      </c>
      <c r="Z241" s="0" t="s">
        <v>33</v>
      </c>
      <c r="AA241" s="0" t="s">
        <v>40</v>
      </c>
      <c r="AB241" s="0" t="n">
        <v>0</v>
      </c>
      <c r="AC241" s="0" t="n">
        <v>0</v>
      </c>
    </row>
    <row r="242" customFormat="false" ht="15" hidden="false" customHeight="false" outlineLevel="0" collapsed="false">
      <c r="A242" s="0" t="n">
        <v>2126</v>
      </c>
      <c r="B242" s="0" t="s">
        <v>29</v>
      </c>
      <c r="C242" s="0" t="s">
        <v>46</v>
      </c>
      <c r="D242" s="0" t="s">
        <v>54</v>
      </c>
      <c r="E242" s="0" t="s">
        <v>50</v>
      </c>
      <c r="F242" s="0" t="s">
        <v>33</v>
      </c>
      <c r="H242" s="0" t="n">
        <v>5</v>
      </c>
      <c r="I242" s="0" t="n">
        <v>5</v>
      </c>
      <c r="J242" s="0" t="n">
        <v>0</v>
      </c>
      <c r="K242" s="0" t="n">
        <v>50.29</v>
      </c>
      <c r="L242" s="0" t="n">
        <v>50.29</v>
      </c>
      <c r="M242" s="0" t="n">
        <v>0</v>
      </c>
      <c r="N242" s="0" t="n">
        <v>171389</v>
      </c>
      <c r="O242" s="0" t="n">
        <v>4</v>
      </c>
      <c r="P242" s="0" t="n">
        <v>0</v>
      </c>
      <c r="Q242" s="0" t="s">
        <v>34</v>
      </c>
      <c r="R242" s="0" t="n">
        <v>2828</v>
      </c>
      <c r="S242" s="0" t="n">
        <v>0</v>
      </c>
      <c r="T242" s="0" t="n">
        <v>0</v>
      </c>
      <c r="U242" s="0" t="n">
        <v>0</v>
      </c>
      <c r="V242" s="0" t="n">
        <v>3</v>
      </c>
      <c r="W242" s="0" t="n">
        <v>0</v>
      </c>
      <c r="X242" s="0" t="n">
        <v>4</v>
      </c>
      <c r="Y242" s="0" t="n">
        <v>6567</v>
      </c>
      <c r="Z242" s="0" t="s">
        <v>34</v>
      </c>
      <c r="AA242" s="0" t="s">
        <v>37</v>
      </c>
      <c r="AB242" s="0" t="n">
        <v>0</v>
      </c>
      <c r="AC242" s="0" t="n">
        <v>0</v>
      </c>
    </row>
    <row r="243" customFormat="false" ht="15" hidden="false" customHeight="false" outlineLevel="0" collapsed="false">
      <c r="A243" s="0" t="n">
        <v>2147</v>
      </c>
      <c r="B243" s="0" t="s">
        <v>42</v>
      </c>
      <c r="C243" s="0" t="s">
        <v>38</v>
      </c>
      <c r="D243" s="0" t="s">
        <v>31</v>
      </c>
      <c r="E243" s="0" t="s">
        <v>32</v>
      </c>
      <c r="F243" s="0" t="s">
        <v>34</v>
      </c>
      <c r="G243" s="0" t="s">
        <v>53</v>
      </c>
      <c r="H243" s="0" t="n">
        <v>3</v>
      </c>
      <c r="I243" s="0" t="n">
        <v>3</v>
      </c>
      <c r="J243" s="0" t="n">
        <v>0</v>
      </c>
      <c r="K243" s="0" t="n">
        <v>70.55</v>
      </c>
      <c r="L243" s="0" t="n">
        <v>70.55</v>
      </c>
      <c r="M243" s="0" t="n">
        <v>0</v>
      </c>
      <c r="N243" s="0" t="n">
        <v>39613</v>
      </c>
      <c r="O243" s="0" t="n">
        <v>1</v>
      </c>
      <c r="P243" s="0" t="n">
        <v>0</v>
      </c>
      <c r="Q243" s="0" t="s">
        <v>33</v>
      </c>
      <c r="R243" s="0" t="n">
        <v>3336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2</v>
      </c>
      <c r="Y243" s="0" t="n">
        <v>3417</v>
      </c>
      <c r="Z243" s="0" t="s">
        <v>33</v>
      </c>
      <c r="AA243" s="0" t="s">
        <v>40</v>
      </c>
      <c r="AB243" s="0" t="n">
        <v>0</v>
      </c>
      <c r="AC243" s="0" t="n">
        <v>0</v>
      </c>
    </row>
    <row r="244" customFormat="false" ht="15" hidden="false" customHeight="false" outlineLevel="0" collapsed="false">
      <c r="A244" s="0" t="n">
        <v>2152</v>
      </c>
      <c r="B244" s="0" t="s">
        <v>29</v>
      </c>
      <c r="C244" s="0" t="s">
        <v>52</v>
      </c>
      <c r="D244" s="0" t="s">
        <v>54</v>
      </c>
      <c r="E244" s="0" t="s">
        <v>50</v>
      </c>
      <c r="F244" s="0" t="s">
        <v>33</v>
      </c>
      <c r="H244" s="0" t="n">
        <v>8</v>
      </c>
      <c r="I244" s="0" t="n">
        <v>8</v>
      </c>
      <c r="J244" s="0" t="n">
        <v>0</v>
      </c>
      <c r="K244" s="0" t="n">
        <v>46.71</v>
      </c>
      <c r="L244" s="0" t="n">
        <v>46.71</v>
      </c>
      <c r="M244" s="0" t="n">
        <v>0</v>
      </c>
      <c r="N244" s="0" t="n">
        <v>143844</v>
      </c>
      <c r="O244" s="0" t="n">
        <v>4</v>
      </c>
      <c r="P244" s="0" t="n">
        <v>0</v>
      </c>
      <c r="Q244" s="0" t="s">
        <v>34</v>
      </c>
      <c r="R244" s="0" t="n">
        <v>2828</v>
      </c>
      <c r="S244" s="0" t="n">
        <v>0</v>
      </c>
      <c r="T244" s="0" t="n">
        <v>0</v>
      </c>
      <c r="U244" s="0" t="n">
        <v>0</v>
      </c>
      <c r="V244" s="0" t="n">
        <v>3</v>
      </c>
      <c r="W244" s="0" t="n">
        <v>0</v>
      </c>
      <c r="X244" s="0" t="n">
        <v>3</v>
      </c>
      <c r="Y244" s="0" t="n">
        <v>8360</v>
      </c>
      <c r="Z244" s="0" t="s">
        <v>33</v>
      </c>
      <c r="AA244" s="0" t="s">
        <v>40</v>
      </c>
      <c r="AB244" s="0" t="n">
        <v>0</v>
      </c>
      <c r="AC244" s="0" t="n">
        <v>0</v>
      </c>
    </row>
    <row r="245" customFormat="false" ht="15" hidden="false" customHeight="false" outlineLevel="0" collapsed="false">
      <c r="A245" s="0" t="n">
        <v>2155</v>
      </c>
      <c r="B245" s="0" t="s">
        <v>36</v>
      </c>
      <c r="C245" s="0" t="s">
        <v>41</v>
      </c>
      <c r="D245" s="0" t="s">
        <v>31</v>
      </c>
      <c r="E245" s="0" t="s">
        <v>32</v>
      </c>
      <c r="F245" s="0" t="s">
        <v>34</v>
      </c>
      <c r="G245" s="0" t="s">
        <v>53</v>
      </c>
      <c r="H245" s="0" t="n">
        <v>7</v>
      </c>
      <c r="I245" s="0" t="n">
        <v>4</v>
      </c>
      <c r="J245" s="0" t="n">
        <v>-3</v>
      </c>
      <c r="K245" s="0" t="n">
        <v>35.87</v>
      </c>
      <c r="L245" s="0" t="n">
        <v>42.89</v>
      </c>
      <c r="M245" s="0" t="n">
        <v>7.02</v>
      </c>
      <c r="N245" s="0" t="n">
        <v>65448</v>
      </c>
      <c r="O245" s="0" t="n">
        <v>1</v>
      </c>
      <c r="P245" s="0" t="n">
        <v>0</v>
      </c>
      <c r="Q245" s="0" t="s">
        <v>33</v>
      </c>
      <c r="R245" s="0" t="n">
        <v>3336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Z245" s="0" t="s">
        <v>33</v>
      </c>
      <c r="AA245" s="0" t="s">
        <v>40</v>
      </c>
      <c r="AB245" s="0" t="n">
        <v>0</v>
      </c>
      <c r="AC245" s="0" t="n">
        <v>0</v>
      </c>
    </row>
    <row r="246" customFormat="false" ht="15" hidden="false" customHeight="false" outlineLevel="0" collapsed="false">
      <c r="A246" s="0" t="n">
        <v>2156</v>
      </c>
      <c r="B246" s="0" t="s">
        <v>42</v>
      </c>
      <c r="C246" s="0" t="s">
        <v>41</v>
      </c>
      <c r="D246" s="0" t="s">
        <v>31</v>
      </c>
      <c r="E246" s="0" t="s">
        <v>32</v>
      </c>
      <c r="F246" s="0" t="s">
        <v>33</v>
      </c>
      <c r="G246" s="0" t="s">
        <v>53</v>
      </c>
      <c r="H246" s="0" t="n">
        <v>7</v>
      </c>
      <c r="I246" s="0" t="n">
        <v>6</v>
      </c>
      <c r="J246" s="0" t="n">
        <v>-1</v>
      </c>
      <c r="K246" s="0" t="n">
        <v>48.49</v>
      </c>
      <c r="L246" s="0" t="n">
        <v>49.71</v>
      </c>
      <c r="M246" s="0" t="n">
        <v>1.22</v>
      </c>
      <c r="N246" s="0" t="n">
        <v>143585</v>
      </c>
      <c r="O246" s="0" t="n">
        <v>2</v>
      </c>
      <c r="P246" s="0" t="n">
        <v>0</v>
      </c>
      <c r="Q246" s="0" t="s">
        <v>33</v>
      </c>
      <c r="R246" s="0" t="n">
        <v>3336</v>
      </c>
      <c r="S246" s="0" t="n">
        <v>0</v>
      </c>
      <c r="T246" s="0" t="n">
        <v>1</v>
      </c>
      <c r="U246" s="0" t="n">
        <v>0</v>
      </c>
      <c r="V246" s="0" t="n">
        <v>2</v>
      </c>
      <c r="W246" s="0" t="n">
        <v>0</v>
      </c>
      <c r="X246" s="0" t="n">
        <v>6</v>
      </c>
      <c r="Y246" s="0" t="n">
        <v>6405</v>
      </c>
      <c r="Z246" s="0" t="s">
        <v>33</v>
      </c>
      <c r="AA246" s="0" t="s">
        <v>40</v>
      </c>
      <c r="AB246" s="0" t="n">
        <v>0</v>
      </c>
      <c r="AC246" s="0" t="n">
        <v>0</v>
      </c>
    </row>
    <row r="247" customFormat="false" ht="15" hidden="false" customHeight="false" outlineLevel="0" collapsed="false">
      <c r="A247" s="0" t="n">
        <v>2157</v>
      </c>
      <c r="B247" s="0" t="s">
        <v>29</v>
      </c>
      <c r="C247" s="0" t="s">
        <v>39</v>
      </c>
      <c r="D247" s="0" t="s">
        <v>31</v>
      </c>
      <c r="E247" s="0" t="s">
        <v>32</v>
      </c>
      <c r="F247" s="0" t="s">
        <v>34</v>
      </c>
      <c r="G247" s="0" t="s">
        <v>53</v>
      </c>
      <c r="H247" s="0" t="n">
        <v>4</v>
      </c>
      <c r="I247" s="0" t="n">
        <v>4</v>
      </c>
      <c r="J247" s="0" t="n">
        <v>0</v>
      </c>
      <c r="K247" s="0" t="n">
        <v>66.27</v>
      </c>
      <c r="L247" s="0" t="n">
        <v>58.42</v>
      </c>
      <c r="M247" s="0" t="n">
        <v>-7.85</v>
      </c>
      <c r="N247" s="0" t="n">
        <v>83467</v>
      </c>
      <c r="O247" s="0" t="n">
        <v>1</v>
      </c>
      <c r="P247" s="0" t="n">
        <v>0</v>
      </c>
      <c r="Q247" s="0" t="s">
        <v>33</v>
      </c>
      <c r="R247" s="0" t="n">
        <v>3336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4</v>
      </c>
      <c r="Y247" s="0" t="n">
        <v>4288</v>
      </c>
      <c r="Z247" s="0" t="s">
        <v>33</v>
      </c>
      <c r="AA247" s="0" t="s">
        <v>40</v>
      </c>
      <c r="AB247" s="0" t="n">
        <v>0</v>
      </c>
      <c r="AC247" s="0" t="n">
        <v>0</v>
      </c>
    </row>
    <row r="248" customFormat="false" ht="15" hidden="false" customHeight="false" outlineLevel="0" collapsed="false">
      <c r="A248" s="0" t="n">
        <v>2162</v>
      </c>
      <c r="B248" s="0" t="s">
        <v>29</v>
      </c>
      <c r="C248" s="0" t="s">
        <v>30</v>
      </c>
      <c r="D248" s="0" t="s">
        <v>31</v>
      </c>
      <c r="E248" s="0" t="s">
        <v>32</v>
      </c>
      <c r="F248" s="0" t="s">
        <v>34</v>
      </c>
      <c r="G248" s="0" t="s">
        <v>53</v>
      </c>
      <c r="H248" s="0" t="n">
        <v>4</v>
      </c>
      <c r="I248" s="0" t="n">
        <v>4</v>
      </c>
      <c r="J248" s="0" t="n">
        <v>0</v>
      </c>
      <c r="K248" s="0" t="n">
        <v>60.23</v>
      </c>
      <c r="L248" s="0" t="n">
        <v>56.78</v>
      </c>
      <c r="M248" s="0" t="n">
        <v>-3.45</v>
      </c>
      <c r="N248" s="0" t="n">
        <v>69463</v>
      </c>
      <c r="O248" s="0" t="n">
        <v>1</v>
      </c>
      <c r="P248" s="0" t="n">
        <v>0</v>
      </c>
      <c r="Q248" s="0" t="s">
        <v>33</v>
      </c>
      <c r="R248" s="0" t="n">
        <v>3336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4</v>
      </c>
      <c r="Y248" s="0" t="n">
        <v>4977</v>
      </c>
      <c r="Z248" s="0" t="s">
        <v>34</v>
      </c>
      <c r="AA248" s="0" t="s">
        <v>37</v>
      </c>
      <c r="AB248" s="0" t="n">
        <v>0</v>
      </c>
      <c r="AC248" s="0" t="n">
        <v>0</v>
      </c>
    </row>
    <row r="249" customFormat="false" ht="15" hidden="false" customHeight="false" outlineLevel="0" collapsed="false">
      <c r="A249" s="0" t="n">
        <v>2164</v>
      </c>
      <c r="B249" s="0" t="s">
        <v>36</v>
      </c>
      <c r="C249" s="0" t="s">
        <v>39</v>
      </c>
      <c r="D249" s="0" t="s">
        <v>31</v>
      </c>
      <c r="E249" s="0" t="s">
        <v>32</v>
      </c>
      <c r="F249" s="0" t="s">
        <v>34</v>
      </c>
      <c r="G249" s="0" t="s">
        <v>53</v>
      </c>
      <c r="H249" s="0" t="n">
        <v>2</v>
      </c>
      <c r="I249" s="0" t="n">
        <v>2</v>
      </c>
      <c r="J249" s="0" t="n">
        <v>0</v>
      </c>
      <c r="K249" s="0" t="n">
        <v>76.04</v>
      </c>
      <c r="L249" s="0" t="n">
        <v>68.51</v>
      </c>
      <c r="M249" s="0" t="n">
        <v>-7.53</v>
      </c>
      <c r="N249" s="0" t="n">
        <v>65613</v>
      </c>
      <c r="O249" s="0" t="n">
        <v>1</v>
      </c>
      <c r="P249" s="0" t="n">
        <v>0</v>
      </c>
      <c r="Q249" s="0" t="s">
        <v>33</v>
      </c>
      <c r="R249" s="0" t="n">
        <v>3336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5</v>
      </c>
      <c r="Y249" s="0" t="n">
        <v>4428</v>
      </c>
      <c r="Z249" s="0" t="s">
        <v>34</v>
      </c>
      <c r="AA249" s="0" t="s">
        <v>37</v>
      </c>
      <c r="AB249" s="0" t="n">
        <v>0</v>
      </c>
      <c r="AC249" s="0" t="n">
        <v>0</v>
      </c>
    </row>
    <row r="250" customFormat="false" ht="15" hidden="false" customHeight="false" outlineLevel="0" collapsed="false">
      <c r="A250" s="0" t="n">
        <v>2174</v>
      </c>
      <c r="B250" s="0" t="s">
        <v>29</v>
      </c>
      <c r="C250" s="0" t="s">
        <v>38</v>
      </c>
      <c r="D250" s="0" t="s">
        <v>31</v>
      </c>
      <c r="E250" s="0" t="s">
        <v>32</v>
      </c>
      <c r="F250" s="0" t="s">
        <v>34</v>
      </c>
      <c r="G250" s="0" t="s">
        <v>53</v>
      </c>
      <c r="H250" s="0" t="n">
        <v>4</v>
      </c>
      <c r="I250" s="0" t="n">
        <v>4</v>
      </c>
      <c r="J250" s="0" t="n">
        <v>0</v>
      </c>
      <c r="K250" s="0" t="n">
        <v>51.29</v>
      </c>
      <c r="L250" s="0" t="n">
        <v>42.2</v>
      </c>
      <c r="M250" s="0" t="n">
        <v>-9.09</v>
      </c>
      <c r="N250" s="0" t="n">
        <v>56674</v>
      </c>
      <c r="O250" s="0" t="n">
        <v>1</v>
      </c>
      <c r="P250" s="0" t="n">
        <v>0</v>
      </c>
      <c r="Q250" s="0" t="s">
        <v>33</v>
      </c>
      <c r="R250" s="0" t="n">
        <v>3336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2</v>
      </c>
      <c r="Y250" s="0" t="n">
        <v>7084</v>
      </c>
      <c r="Z250" s="0" t="s">
        <v>34</v>
      </c>
      <c r="AA250" s="0" t="s">
        <v>37</v>
      </c>
      <c r="AB250" s="0" t="n">
        <v>0</v>
      </c>
      <c r="AC250" s="0" t="n">
        <v>0</v>
      </c>
    </row>
    <row r="251" customFormat="false" ht="15" hidden="false" customHeight="false" outlineLevel="0" collapsed="false">
      <c r="A251" s="0" t="n">
        <v>2175</v>
      </c>
      <c r="B251" s="0" t="s">
        <v>42</v>
      </c>
      <c r="C251" s="0" t="s">
        <v>41</v>
      </c>
      <c r="D251" s="0" t="s">
        <v>54</v>
      </c>
      <c r="E251" s="0" t="s">
        <v>50</v>
      </c>
      <c r="F251" s="0" t="s">
        <v>33</v>
      </c>
      <c r="H251" s="0" t="n">
        <v>9</v>
      </c>
      <c r="I251" s="0" t="n">
        <v>9</v>
      </c>
      <c r="J251" s="0" t="n">
        <v>0</v>
      </c>
      <c r="K251" s="0" t="n">
        <v>38.81</v>
      </c>
      <c r="L251" s="0" t="n">
        <v>38.81</v>
      </c>
      <c r="M251" s="0" t="n">
        <v>0</v>
      </c>
      <c r="N251" s="0" t="n">
        <v>199938</v>
      </c>
      <c r="O251" s="0" t="n">
        <v>4</v>
      </c>
      <c r="P251" s="0" t="n">
        <v>0</v>
      </c>
      <c r="Q251" s="0" t="s">
        <v>34</v>
      </c>
      <c r="R251" s="0" t="n">
        <v>2828</v>
      </c>
      <c r="S251" s="0" t="n">
        <v>0</v>
      </c>
      <c r="T251" s="0" t="n">
        <v>1</v>
      </c>
      <c r="U251" s="0" t="n">
        <v>0</v>
      </c>
      <c r="V251" s="0" t="n">
        <v>2</v>
      </c>
      <c r="W251" s="0" t="n">
        <v>0</v>
      </c>
      <c r="X251" s="0" t="n">
        <v>4</v>
      </c>
      <c r="Y251" s="0" t="n">
        <v>9236</v>
      </c>
      <c r="Z251" s="0" t="s">
        <v>34</v>
      </c>
      <c r="AA251" s="0" t="s">
        <v>37</v>
      </c>
      <c r="AB251" s="0" t="n">
        <v>0</v>
      </c>
      <c r="AC251" s="0" t="n">
        <v>0</v>
      </c>
    </row>
    <row r="252" customFormat="false" ht="15" hidden="false" customHeight="false" outlineLevel="0" collapsed="false">
      <c r="A252" s="0" t="n">
        <v>2193</v>
      </c>
      <c r="B252" s="0" t="s">
        <v>42</v>
      </c>
      <c r="C252" s="0" t="s">
        <v>41</v>
      </c>
      <c r="D252" s="0" t="s">
        <v>54</v>
      </c>
      <c r="E252" s="0" t="s">
        <v>50</v>
      </c>
      <c r="F252" s="0" t="s">
        <v>33</v>
      </c>
      <c r="H252" s="0" t="n">
        <v>4</v>
      </c>
      <c r="I252" s="0" t="n">
        <v>4</v>
      </c>
      <c r="J252" s="0" t="n">
        <v>0</v>
      </c>
      <c r="K252" s="0" t="n">
        <v>65.61</v>
      </c>
      <c r="L252" s="0" t="n">
        <v>65.61</v>
      </c>
      <c r="M252" s="0" t="n">
        <v>0</v>
      </c>
      <c r="N252" s="0" t="n">
        <v>78214</v>
      </c>
      <c r="O252" s="0" t="n">
        <v>4</v>
      </c>
      <c r="P252" s="0" t="n">
        <v>0</v>
      </c>
      <c r="Q252" s="0" t="s">
        <v>34</v>
      </c>
      <c r="R252" s="0" t="n">
        <v>2828</v>
      </c>
      <c r="S252" s="0" t="n">
        <v>0</v>
      </c>
      <c r="T252" s="0" t="n">
        <v>0</v>
      </c>
      <c r="U252" s="0" t="n">
        <v>0</v>
      </c>
      <c r="V252" s="0" t="n">
        <v>3</v>
      </c>
      <c r="W252" s="0" t="n">
        <v>0</v>
      </c>
      <c r="X252" s="0" t="n">
        <v>0</v>
      </c>
      <c r="Z252" s="0" t="s">
        <v>33</v>
      </c>
      <c r="AA252" s="0" t="s">
        <v>40</v>
      </c>
      <c r="AB252" s="0" t="n">
        <v>0</v>
      </c>
      <c r="AC252" s="0" t="n">
        <v>0</v>
      </c>
    </row>
    <row r="253" customFormat="false" ht="15" hidden="false" customHeight="false" outlineLevel="0" collapsed="false">
      <c r="A253" s="0" t="n">
        <v>2194</v>
      </c>
      <c r="B253" s="0" t="s">
        <v>29</v>
      </c>
      <c r="C253" s="0" t="s">
        <v>46</v>
      </c>
      <c r="D253" s="0" t="s">
        <v>54</v>
      </c>
      <c r="E253" s="0" t="s">
        <v>50</v>
      </c>
      <c r="F253" s="0" t="s">
        <v>33</v>
      </c>
      <c r="H253" s="0" t="n">
        <v>3</v>
      </c>
      <c r="I253" s="0" t="n">
        <v>3</v>
      </c>
      <c r="J253" s="0" t="n">
        <v>0</v>
      </c>
      <c r="K253" s="0" t="n">
        <v>59.8</v>
      </c>
      <c r="L253" s="0" t="n">
        <v>59.8</v>
      </c>
      <c r="M253" s="0" t="n">
        <v>0</v>
      </c>
      <c r="N253" s="0" t="n">
        <v>131802</v>
      </c>
      <c r="O253" s="0" t="n">
        <v>4</v>
      </c>
      <c r="P253" s="0" t="n">
        <v>0</v>
      </c>
      <c r="Q253" s="0" t="s">
        <v>34</v>
      </c>
      <c r="R253" s="0" t="n">
        <v>2828</v>
      </c>
      <c r="S253" s="0" t="n">
        <v>0</v>
      </c>
      <c r="T253" s="0" t="n">
        <v>0</v>
      </c>
      <c r="U253" s="0" t="n">
        <v>0</v>
      </c>
      <c r="V253" s="0" t="n">
        <v>3</v>
      </c>
      <c r="W253" s="0" t="n">
        <v>0</v>
      </c>
      <c r="X253" s="0" t="n">
        <v>2</v>
      </c>
      <c r="Y253" s="0" t="n">
        <v>5635</v>
      </c>
      <c r="Z253" s="0" t="s">
        <v>34</v>
      </c>
      <c r="AA253" s="0" t="s">
        <v>37</v>
      </c>
      <c r="AB253" s="0" t="n">
        <v>0</v>
      </c>
      <c r="AC253" s="0" t="n">
        <v>0</v>
      </c>
    </row>
    <row r="254" customFormat="false" ht="15" hidden="false" customHeight="false" outlineLevel="0" collapsed="false">
      <c r="A254" s="0" t="n">
        <v>2202</v>
      </c>
      <c r="B254" s="0" t="s">
        <v>29</v>
      </c>
      <c r="C254" s="0" t="s">
        <v>52</v>
      </c>
      <c r="D254" s="0" t="s">
        <v>31</v>
      </c>
      <c r="E254" s="0" t="s">
        <v>32</v>
      </c>
      <c r="F254" s="0" t="s">
        <v>34</v>
      </c>
      <c r="G254" s="0" t="s">
        <v>53</v>
      </c>
      <c r="H254" s="0" t="n">
        <v>3</v>
      </c>
      <c r="I254" s="0" t="n">
        <v>3</v>
      </c>
      <c r="J254" s="0" t="n">
        <v>0</v>
      </c>
      <c r="K254" s="0" t="n">
        <v>55.86</v>
      </c>
      <c r="L254" s="0" t="n">
        <v>54.32</v>
      </c>
      <c r="M254" s="0" t="n">
        <v>-1.54</v>
      </c>
      <c r="N254" s="0" t="n">
        <v>75100</v>
      </c>
      <c r="O254" s="0" t="n">
        <v>1</v>
      </c>
      <c r="P254" s="0" t="n">
        <v>0</v>
      </c>
      <c r="Q254" s="0" t="s">
        <v>33</v>
      </c>
      <c r="R254" s="0" t="n">
        <v>3334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4</v>
      </c>
      <c r="Y254" s="0" t="n">
        <v>5975</v>
      </c>
      <c r="Z254" s="0" t="s">
        <v>34</v>
      </c>
      <c r="AA254" s="0" t="s">
        <v>37</v>
      </c>
      <c r="AB254" s="0" t="n">
        <v>0</v>
      </c>
      <c r="AC254" s="0" t="n">
        <v>0</v>
      </c>
    </row>
    <row r="255" customFormat="false" ht="15" hidden="false" customHeight="false" outlineLevel="0" collapsed="false">
      <c r="A255" s="0" t="n">
        <v>2207</v>
      </c>
      <c r="B255" s="0" t="s">
        <v>42</v>
      </c>
      <c r="C255" s="0" t="s">
        <v>30</v>
      </c>
      <c r="D255" s="0" t="s">
        <v>31</v>
      </c>
      <c r="E255" s="0" t="s">
        <v>32</v>
      </c>
      <c r="F255" s="0" t="s">
        <v>34</v>
      </c>
      <c r="G255" s="0" t="s">
        <v>53</v>
      </c>
      <c r="H255" s="0" t="n">
        <v>5</v>
      </c>
      <c r="I255" s="0" t="n">
        <v>5</v>
      </c>
      <c r="J255" s="0" t="n">
        <v>0</v>
      </c>
      <c r="K255" s="0" t="n">
        <v>64.25</v>
      </c>
      <c r="L255" s="0" t="n">
        <v>61.9</v>
      </c>
      <c r="M255" s="0" t="n">
        <v>-2.35</v>
      </c>
      <c r="N255" s="0" t="n">
        <v>61185</v>
      </c>
      <c r="O255" s="0" t="n">
        <v>1</v>
      </c>
      <c r="P255" s="0" t="n">
        <v>0</v>
      </c>
      <c r="Q255" s="0" t="s">
        <v>33</v>
      </c>
      <c r="R255" s="0" t="n">
        <v>3334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4</v>
      </c>
      <c r="Y255" s="0" t="n">
        <v>4046</v>
      </c>
      <c r="Z255" s="0" t="s">
        <v>34</v>
      </c>
      <c r="AA255" s="0" t="s">
        <v>37</v>
      </c>
      <c r="AB255" s="0" t="n">
        <v>0</v>
      </c>
      <c r="AC255" s="0" t="n">
        <v>0</v>
      </c>
    </row>
    <row r="256" customFormat="false" ht="15" hidden="false" customHeight="false" outlineLevel="0" collapsed="false">
      <c r="A256" s="0" t="n">
        <v>2213</v>
      </c>
      <c r="B256" s="0" t="s">
        <v>29</v>
      </c>
      <c r="C256" s="0" t="s">
        <v>51</v>
      </c>
      <c r="D256" s="0" t="s">
        <v>31</v>
      </c>
      <c r="E256" s="0" t="s">
        <v>32</v>
      </c>
      <c r="F256" s="0" t="s">
        <v>33</v>
      </c>
      <c r="G256" s="0" t="s">
        <v>53</v>
      </c>
      <c r="H256" s="0" t="n">
        <v>7</v>
      </c>
      <c r="I256" s="0" t="n">
        <v>5</v>
      </c>
      <c r="J256" s="0" t="n">
        <v>-2</v>
      </c>
      <c r="K256" s="0" t="n">
        <v>38.59</v>
      </c>
      <c r="L256" s="0" t="n">
        <v>47.54</v>
      </c>
      <c r="M256" s="0" t="n">
        <v>8.95</v>
      </c>
      <c r="N256" s="0" t="n">
        <v>114687</v>
      </c>
      <c r="O256" s="0" t="n">
        <v>2</v>
      </c>
      <c r="P256" s="0" t="n">
        <v>0</v>
      </c>
      <c r="Q256" s="0" t="s">
        <v>33</v>
      </c>
      <c r="R256" s="0" t="n">
        <v>3334</v>
      </c>
      <c r="S256" s="0" t="n">
        <v>0</v>
      </c>
      <c r="T256" s="0" t="n">
        <v>0</v>
      </c>
      <c r="U256" s="0" t="n">
        <v>0</v>
      </c>
      <c r="V256" s="0" t="n">
        <v>2</v>
      </c>
      <c r="W256" s="0" t="n">
        <v>0</v>
      </c>
      <c r="X256" s="0" t="n">
        <v>0</v>
      </c>
      <c r="Z256" s="0" t="s">
        <v>33</v>
      </c>
      <c r="AA256" s="0" t="s">
        <v>40</v>
      </c>
      <c r="AB256" s="0" t="n">
        <v>0</v>
      </c>
      <c r="AC256" s="0" t="n">
        <v>0</v>
      </c>
    </row>
    <row r="257" customFormat="false" ht="15" hidden="false" customHeight="false" outlineLevel="0" collapsed="false">
      <c r="A257" s="0" t="n">
        <v>2216</v>
      </c>
      <c r="B257" s="0" t="s">
        <v>29</v>
      </c>
      <c r="C257" s="0" t="s">
        <v>46</v>
      </c>
      <c r="D257" s="0" t="s">
        <v>31</v>
      </c>
      <c r="E257" s="0" t="s">
        <v>32</v>
      </c>
      <c r="F257" s="0" t="s">
        <v>33</v>
      </c>
      <c r="G257" s="0" t="s">
        <v>53</v>
      </c>
      <c r="H257" s="0" t="n">
        <v>6</v>
      </c>
      <c r="I257" s="0" t="n">
        <v>4</v>
      </c>
      <c r="J257" s="0" t="n">
        <v>-2</v>
      </c>
      <c r="K257" s="0" t="n">
        <v>41.64</v>
      </c>
      <c r="L257" s="0" t="n">
        <v>31.11</v>
      </c>
      <c r="M257" s="0" t="n">
        <v>-10.53</v>
      </c>
      <c r="N257" s="0" t="n">
        <v>181295</v>
      </c>
      <c r="O257" s="0" t="n">
        <v>3</v>
      </c>
      <c r="P257" s="0" t="n">
        <v>0</v>
      </c>
      <c r="Q257" s="0" t="s">
        <v>33</v>
      </c>
      <c r="R257" s="0" t="n">
        <v>3334</v>
      </c>
      <c r="S257" s="0" t="n">
        <v>0</v>
      </c>
      <c r="T257" s="0" t="n">
        <v>1</v>
      </c>
      <c r="U257" s="0" t="n">
        <v>0</v>
      </c>
      <c r="V257" s="0" t="n">
        <v>2</v>
      </c>
      <c r="W257" s="0" t="n">
        <v>0</v>
      </c>
      <c r="X257" s="0" t="n">
        <v>2</v>
      </c>
      <c r="Y257" s="0" t="n">
        <v>9924</v>
      </c>
      <c r="Z257" s="0" t="s">
        <v>33</v>
      </c>
      <c r="AA257" s="0" t="s">
        <v>40</v>
      </c>
      <c r="AB257" s="0" t="n">
        <v>0</v>
      </c>
      <c r="AC257" s="0" t="n">
        <v>0</v>
      </c>
    </row>
    <row r="258" customFormat="false" ht="15" hidden="false" customHeight="false" outlineLevel="0" collapsed="false">
      <c r="A258" s="0" t="n">
        <v>2227</v>
      </c>
      <c r="B258" s="0" t="s">
        <v>29</v>
      </c>
      <c r="C258" s="0" t="s">
        <v>46</v>
      </c>
      <c r="D258" s="0" t="s">
        <v>31</v>
      </c>
      <c r="E258" s="0" t="s">
        <v>32</v>
      </c>
      <c r="F258" s="0" t="s">
        <v>33</v>
      </c>
      <c r="G258" s="0" t="s">
        <v>53</v>
      </c>
      <c r="H258" s="0" t="n">
        <v>6</v>
      </c>
      <c r="I258" s="0" t="n">
        <v>7</v>
      </c>
      <c r="J258" s="0" t="n">
        <v>1</v>
      </c>
      <c r="K258" s="0" t="n">
        <v>34.51</v>
      </c>
      <c r="L258" s="0" t="n">
        <v>13.67</v>
      </c>
      <c r="M258" s="0" t="n">
        <v>-20.84</v>
      </c>
      <c r="N258" s="0" t="n">
        <v>173787</v>
      </c>
      <c r="O258" s="0" t="n">
        <v>3</v>
      </c>
      <c r="P258" s="0" t="n">
        <v>0</v>
      </c>
      <c r="Q258" s="0" t="s">
        <v>33</v>
      </c>
      <c r="R258" s="0" t="n">
        <v>3336</v>
      </c>
      <c r="S258" s="0" t="n">
        <v>0</v>
      </c>
      <c r="T258" s="0" t="n">
        <v>0</v>
      </c>
      <c r="U258" s="0" t="n">
        <v>0</v>
      </c>
      <c r="V258" s="0" t="n">
        <v>2</v>
      </c>
      <c r="W258" s="0" t="n">
        <v>1</v>
      </c>
      <c r="X258" s="0" t="n">
        <v>3</v>
      </c>
      <c r="Y258" s="0" t="n">
        <v>10840</v>
      </c>
      <c r="Z258" s="0" t="s">
        <v>33</v>
      </c>
      <c r="AA258" s="0" t="s">
        <v>40</v>
      </c>
      <c r="AB258" s="0" t="n">
        <v>0</v>
      </c>
      <c r="AC258" s="0" t="n">
        <v>0</v>
      </c>
    </row>
    <row r="259" customFormat="false" ht="15" hidden="false" customHeight="false" outlineLevel="0" collapsed="false">
      <c r="A259" s="0" t="n">
        <v>2231</v>
      </c>
      <c r="B259" s="0" t="s">
        <v>42</v>
      </c>
      <c r="C259" s="0" t="s">
        <v>38</v>
      </c>
      <c r="D259" s="0" t="s">
        <v>31</v>
      </c>
      <c r="E259" s="0" t="s">
        <v>32</v>
      </c>
      <c r="F259" s="0" t="s">
        <v>33</v>
      </c>
      <c r="G259" s="0" t="s">
        <v>53</v>
      </c>
      <c r="H259" s="0" t="n">
        <v>2</v>
      </c>
      <c r="I259" s="0" t="n">
        <v>2</v>
      </c>
      <c r="J259" s="0" t="n">
        <v>0</v>
      </c>
      <c r="K259" s="0" t="n">
        <v>87.92</v>
      </c>
      <c r="L259" s="0" t="n">
        <v>87.92</v>
      </c>
      <c r="M259" s="0" t="n">
        <v>0</v>
      </c>
      <c r="N259" s="0" t="n">
        <v>44948</v>
      </c>
      <c r="O259" s="0" t="n">
        <v>2</v>
      </c>
      <c r="P259" s="0" t="n">
        <v>0</v>
      </c>
      <c r="Q259" s="0" t="s">
        <v>33</v>
      </c>
      <c r="R259" s="0" t="n">
        <v>3336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1</v>
      </c>
      <c r="X259" s="0" t="n">
        <v>2</v>
      </c>
      <c r="Y259" s="0" t="n">
        <v>1791</v>
      </c>
      <c r="Z259" s="0" t="s">
        <v>34</v>
      </c>
      <c r="AA259" s="0" t="s">
        <v>35</v>
      </c>
      <c r="AB259" s="0" t="n">
        <v>1</v>
      </c>
      <c r="AC259" s="0" t="n">
        <v>0</v>
      </c>
    </row>
    <row r="260" customFormat="false" ht="15" hidden="false" customHeight="false" outlineLevel="0" collapsed="false">
      <c r="A260" s="0" t="n">
        <v>2238</v>
      </c>
      <c r="B260" s="0" t="s">
        <v>36</v>
      </c>
      <c r="C260" s="0" t="s">
        <v>30</v>
      </c>
      <c r="D260" s="0" t="s">
        <v>31</v>
      </c>
      <c r="E260" s="0" t="s">
        <v>32</v>
      </c>
      <c r="F260" s="0" t="s">
        <v>34</v>
      </c>
      <c r="G260" s="0" t="s">
        <v>53</v>
      </c>
      <c r="H260" s="0" t="n">
        <v>7</v>
      </c>
      <c r="I260" s="0" t="n">
        <v>7</v>
      </c>
      <c r="J260" s="0" t="n">
        <v>0</v>
      </c>
      <c r="K260" s="0" t="n">
        <v>46.51</v>
      </c>
      <c r="L260" s="0" t="n">
        <v>44.2</v>
      </c>
      <c r="M260" s="0" t="n">
        <v>-2.31</v>
      </c>
      <c r="N260" s="0" t="n">
        <v>82344</v>
      </c>
      <c r="O260" s="0" t="n">
        <v>1</v>
      </c>
      <c r="P260" s="0" t="n">
        <v>0</v>
      </c>
      <c r="Q260" s="0" t="s">
        <v>33</v>
      </c>
      <c r="R260" s="0" t="n">
        <v>3336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4</v>
      </c>
      <c r="Y260" s="0" t="n">
        <v>6918</v>
      </c>
      <c r="Z260" s="0" t="s">
        <v>33</v>
      </c>
      <c r="AA260" s="0" t="s">
        <v>40</v>
      </c>
      <c r="AB260" s="0" t="n">
        <v>0</v>
      </c>
      <c r="AC260" s="0" t="n">
        <v>0</v>
      </c>
    </row>
    <row r="261" customFormat="false" ht="15" hidden="false" customHeight="false" outlineLevel="0" collapsed="false">
      <c r="A261" s="0" t="n">
        <v>2253</v>
      </c>
      <c r="B261" s="0" t="s">
        <v>29</v>
      </c>
      <c r="C261" s="0" t="s">
        <v>48</v>
      </c>
      <c r="D261" s="0" t="s">
        <v>31</v>
      </c>
      <c r="E261" s="0" t="s">
        <v>32</v>
      </c>
      <c r="F261" s="0" t="s">
        <v>34</v>
      </c>
      <c r="G261" s="0" t="s">
        <v>53</v>
      </c>
      <c r="H261" s="0" t="n">
        <v>2</v>
      </c>
      <c r="I261" s="0" t="n">
        <v>1</v>
      </c>
      <c r="J261" s="0" t="n">
        <v>-1</v>
      </c>
      <c r="K261" s="0" t="n">
        <v>87.52</v>
      </c>
      <c r="L261" s="0" t="n">
        <v>87.64</v>
      </c>
      <c r="M261" s="0" t="n">
        <v>0.12</v>
      </c>
      <c r="N261" s="0" t="n">
        <v>49715</v>
      </c>
      <c r="O261" s="0" t="n">
        <v>1</v>
      </c>
      <c r="P261" s="0" t="n">
        <v>0</v>
      </c>
      <c r="Q261" s="0" t="s">
        <v>33</v>
      </c>
      <c r="R261" s="0" t="n">
        <v>3336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4</v>
      </c>
      <c r="Y261" s="0" t="n">
        <v>2134</v>
      </c>
      <c r="Z261" s="0" t="s">
        <v>33</v>
      </c>
      <c r="AA261" s="0" t="s">
        <v>40</v>
      </c>
      <c r="AB261" s="0" t="n">
        <v>0</v>
      </c>
      <c r="AC261" s="0" t="n">
        <v>0</v>
      </c>
    </row>
    <row r="262" customFormat="false" ht="15" hidden="false" customHeight="false" outlineLevel="0" collapsed="false">
      <c r="A262" s="0" t="n">
        <v>2259</v>
      </c>
      <c r="B262" s="0" t="s">
        <v>42</v>
      </c>
      <c r="C262" s="0" t="s">
        <v>41</v>
      </c>
      <c r="D262" s="0" t="s">
        <v>31</v>
      </c>
      <c r="E262" s="0" t="s">
        <v>32</v>
      </c>
      <c r="F262" s="0" t="s">
        <v>34</v>
      </c>
      <c r="G262" s="0" t="s">
        <v>53</v>
      </c>
      <c r="H262" s="0" t="n">
        <v>8</v>
      </c>
      <c r="I262" s="0" t="n">
        <v>8</v>
      </c>
      <c r="J262" s="0" t="n">
        <v>0</v>
      </c>
      <c r="K262" s="0" t="n">
        <v>51.43</v>
      </c>
      <c r="L262" s="0" t="n">
        <v>47.06</v>
      </c>
      <c r="M262" s="0" t="n">
        <v>-4.37</v>
      </c>
      <c r="N262" s="0" t="n">
        <v>63111</v>
      </c>
      <c r="O262" s="0" t="n">
        <v>1</v>
      </c>
      <c r="P262" s="0" t="n">
        <v>0</v>
      </c>
      <c r="Q262" s="0" t="s">
        <v>33</v>
      </c>
      <c r="R262" s="0" t="n">
        <v>3336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Z262" s="0" t="s">
        <v>34</v>
      </c>
      <c r="AA262" s="0" t="s">
        <v>37</v>
      </c>
      <c r="AB262" s="0" t="n">
        <v>0</v>
      </c>
      <c r="AC262" s="0" t="n">
        <v>0</v>
      </c>
    </row>
    <row r="263" customFormat="false" ht="15" hidden="false" customHeight="false" outlineLevel="0" collapsed="false">
      <c r="A263" s="0" t="n">
        <v>2272</v>
      </c>
      <c r="B263" s="0" t="s">
        <v>42</v>
      </c>
      <c r="C263" s="0" t="s">
        <v>52</v>
      </c>
      <c r="D263" s="0" t="s">
        <v>31</v>
      </c>
      <c r="E263" s="0" t="s">
        <v>32</v>
      </c>
      <c r="F263" s="0" t="s">
        <v>34</v>
      </c>
      <c r="G263" s="0" t="s">
        <v>53</v>
      </c>
      <c r="H263" s="0" t="n">
        <v>8</v>
      </c>
      <c r="I263" s="0" t="n">
        <v>8</v>
      </c>
      <c r="J263" s="0" t="n">
        <v>0</v>
      </c>
      <c r="K263" s="0" t="n">
        <v>58.91</v>
      </c>
      <c r="L263" s="0" t="n">
        <v>56.58</v>
      </c>
      <c r="M263" s="0" t="n">
        <v>-2.33</v>
      </c>
      <c r="N263" s="0" t="n">
        <v>71472</v>
      </c>
      <c r="O263" s="0" t="n">
        <v>1</v>
      </c>
      <c r="P263" s="0" t="n">
        <v>0</v>
      </c>
      <c r="Q263" s="0" t="s">
        <v>33</v>
      </c>
      <c r="R263" s="0" t="n">
        <v>3336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4</v>
      </c>
      <c r="Y263" s="0" t="n">
        <v>5449</v>
      </c>
      <c r="Z263" s="0" t="s">
        <v>34</v>
      </c>
      <c r="AA263" s="0" t="s">
        <v>37</v>
      </c>
      <c r="AB263" s="0" t="n">
        <v>0</v>
      </c>
      <c r="AC263" s="0" t="n">
        <v>0</v>
      </c>
    </row>
    <row r="264" customFormat="false" ht="15" hidden="false" customHeight="false" outlineLevel="0" collapsed="false">
      <c r="A264" s="0" t="n">
        <v>2279</v>
      </c>
      <c r="B264" s="0" t="s">
        <v>36</v>
      </c>
      <c r="C264" s="0" t="s">
        <v>46</v>
      </c>
      <c r="D264" s="0" t="s">
        <v>54</v>
      </c>
      <c r="E264" s="0" t="s">
        <v>50</v>
      </c>
      <c r="F264" s="0" t="s">
        <v>33</v>
      </c>
      <c r="H264" s="0" t="n">
        <v>6</v>
      </c>
      <c r="I264" s="0" t="n">
        <v>6</v>
      </c>
      <c r="J264" s="0" t="n">
        <v>0</v>
      </c>
      <c r="K264" s="0" t="n">
        <v>34.68</v>
      </c>
      <c r="L264" s="0" t="n">
        <v>34.68</v>
      </c>
      <c r="M264" s="0" t="n">
        <v>0</v>
      </c>
      <c r="N264" s="0" t="n">
        <v>185429</v>
      </c>
      <c r="O264" s="0" t="n">
        <v>4</v>
      </c>
      <c r="P264" s="0" t="n">
        <v>0</v>
      </c>
      <c r="Q264" s="0" t="s">
        <v>34</v>
      </c>
      <c r="R264" s="0" t="n">
        <v>2828</v>
      </c>
      <c r="S264" s="0" t="n">
        <v>0</v>
      </c>
      <c r="T264" s="0" t="n">
        <v>0</v>
      </c>
      <c r="U264" s="0" t="n">
        <v>0</v>
      </c>
      <c r="V264" s="0" t="n">
        <v>3</v>
      </c>
      <c r="W264" s="0" t="n">
        <v>0</v>
      </c>
      <c r="X264" s="0" t="n">
        <v>2</v>
      </c>
      <c r="Y264" s="0" t="n">
        <v>11286</v>
      </c>
      <c r="Z264" s="0" t="s">
        <v>34</v>
      </c>
      <c r="AA264" s="0" t="s">
        <v>37</v>
      </c>
      <c r="AB264" s="0" t="n">
        <v>0</v>
      </c>
      <c r="AC264" s="0" t="n">
        <v>0</v>
      </c>
    </row>
    <row r="265" customFormat="false" ht="15" hidden="false" customHeight="false" outlineLevel="0" collapsed="false">
      <c r="A265" s="0" t="n">
        <v>2284</v>
      </c>
      <c r="B265" s="0" t="s">
        <v>29</v>
      </c>
      <c r="C265" s="0" t="s">
        <v>48</v>
      </c>
      <c r="D265" s="0" t="s">
        <v>31</v>
      </c>
      <c r="E265" s="0" t="s">
        <v>32</v>
      </c>
      <c r="F265" s="0" t="s">
        <v>34</v>
      </c>
      <c r="G265" s="0" t="s">
        <v>53</v>
      </c>
      <c r="H265" s="0" t="n">
        <v>2</v>
      </c>
      <c r="I265" s="0" t="n">
        <v>1</v>
      </c>
      <c r="J265" s="0" t="n">
        <v>-1</v>
      </c>
      <c r="K265" s="0" t="n">
        <v>64.61</v>
      </c>
      <c r="L265" s="0" t="n">
        <v>60.62</v>
      </c>
      <c r="M265" s="0" t="n">
        <v>-3.99</v>
      </c>
      <c r="N265" s="0" t="n">
        <v>46704</v>
      </c>
      <c r="O265" s="0" t="n">
        <v>1</v>
      </c>
      <c r="P265" s="0" t="n">
        <v>0</v>
      </c>
      <c r="Q265" s="0" t="s">
        <v>33</v>
      </c>
      <c r="R265" s="0" t="n">
        <v>3336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Z265" s="0" t="s">
        <v>33</v>
      </c>
      <c r="AA265" s="0" t="s">
        <v>40</v>
      </c>
      <c r="AB265" s="0" t="n">
        <v>0</v>
      </c>
      <c r="AC265" s="0" t="n">
        <v>0</v>
      </c>
    </row>
    <row r="266" customFormat="false" ht="15" hidden="false" customHeight="false" outlineLevel="0" collapsed="false">
      <c r="A266" s="0" t="n">
        <v>2288</v>
      </c>
      <c r="B266" s="0" t="s">
        <v>29</v>
      </c>
      <c r="C266" s="0" t="s">
        <v>38</v>
      </c>
      <c r="D266" s="0" t="s">
        <v>31</v>
      </c>
      <c r="E266" s="0" t="s">
        <v>32</v>
      </c>
      <c r="F266" s="0" t="s">
        <v>34</v>
      </c>
      <c r="G266" s="0" t="s">
        <v>53</v>
      </c>
      <c r="H266" s="0" t="n">
        <v>3</v>
      </c>
      <c r="I266" s="0" t="n">
        <v>3</v>
      </c>
      <c r="J266" s="0" t="n">
        <v>0</v>
      </c>
      <c r="K266" s="0" t="n">
        <v>65.14</v>
      </c>
      <c r="L266" s="0" t="n">
        <v>65.14</v>
      </c>
      <c r="M266" s="0" t="n">
        <v>0</v>
      </c>
      <c r="N266" s="0" t="n">
        <v>41713</v>
      </c>
      <c r="O266" s="0" t="n">
        <v>1</v>
      </c>
      <c r="P266" s="0" t="n">
        <v>0</v>
      </c>
      <c r="Q266" s="0" t="s">
        <v>33</v>
      </c>
      <c r="R266" s="0" t="n">
        <v>3336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2</v>
      </c>
      <c r="Y266" s="0" t="n">
        <v>3848</v>
      </c>
      <c r="Z266" s="0" t="s">
        <v>34</v>
      </c>
      <c r="AA266" s="0" t="s">
        <v>37</v>
      </c>
      <c r="AB266" s="0" t="n">
        <v>0</v>
      </c>
      <c r="AC266" s="0" t="n">
        <v>0</v>
      </c>
    </row>
    <row r="267" customFormat="false" ht="15" hidden="false" customHeight="false" outlineLevel="0" collapsed="false">
      <c r="A267" s="0" t="n">
        <v>2293</v>
      </c>
      <c r="B267" s="0" t="s">
        <v>29</v>
      </c>
      <c r="C267" s="0" t="s">
        <v>41</v>
      </c>
      <c r="D267" s="0" t="s">
        <v>31</v>
      </c>
      <c r="E267" s="0" t="s">
        <v>32</v>
      </c>
      <c r="F267" s="0" t="s">
        <v>34</v>
      </c>
      <c r="G267" s="0" t="s">
        <v>53</v>
      </c>
      <c r="H267" s="0" t="n">
        <v>5</v>
      </c>
      <c r="I267" s="0" t="n">
        <v>3</v>
      </c>
      <c r="J267" s="0" t="n">
        <v>-2</v>
      </c>
      <c r="K267" s="0" t="n">
        <v>71.15</v>
      </c>
      <c r="L267" s="0" t="n">
        <v>80.82</v>
      </c>
      <c r="M267" s="0" t="n">
        <v>9.67</v>
      </c>
      <c r="N267" s="0" t="n">
        <v>48720</v>
      </c>
      <c r="O267" s="0" t="n">
        <v>1</v>
      </c>
      <c r="P267" s="0" t="n">
        <v>0</v>
      </c>
      <c r="Q267" s="0" t="s">
        <v>33</v>
      </c>
      <c r="R267" s="0" t="n">
        <v>3336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Z267" s="0" t="s">
        <v>34</v>
      </c>
      <c r="AA267" s="0" t="s">
        <v>37</v>
      </c>
      <c r="AB267" s="0" t="n">
        <v>0</v>
      </c>
      <c r="AC267" s="0" t="n">
        <v>0</v>
      </c>
    </row>
    <row r="268" customFormat="false" ht="15" hidden="false" customHeight="false" outlineLevel="0" collapsed="false">
      <c r="A268" s="0" t="n">
        <v>2299</v>
      </c>
      <c r="B268" s="0" t="s">
        <v>36</v>
      </c>
      <c r="C268" s="0" t="s">
        <v>30</v>
      </c>
      <c r="D268" s="0" t="s">
        <v>31</v>
      </c>
      <c r="E268" s="0" t="s">
        <v>32</v>
      </c>
      <c r="F268" s="0" t="s">
        <v>33</v>
      </c>
      <c r="G268" s="0" t="s">
        <v>53</v>
      </c>
      <c r="H268" s="0" t="n">
        <v>8</v>
      </c>
      <c r="I268" s="0" t="n">
        <v>4</v>
      </c>
      <c r="J268" s="0" t="n">
        <v>-4</v>
      </c>
      <c r="K268" s="0" t="n">
        <v>50.12</v>
      </c>
      <c r="L268" s="0" t="n">
        <v>64.45</v>
      </c>
      <c r="M268" s="0" t="n">
        <v>14.33</v>
      </c>
      <c r="N268" s="0" t="n">
        <v>139082</v>
      </c>
      <c r="O268" s="0" t="n">
        <v>2</v>
      </c>
      <c r="P268" s="0" t="n">
        <v>0</v>
      </c>
      <c r="Q268" s="0" t="s">
        <v>33</v>
      </c>
      <c r="R268" s="0" t="n">
        <v>3336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1</v>
      </c>
      <c r="X268" s="0" t="n">
        <v>4</v>
      </c>
      <c r="Y268" s="0" t="n">
        <v>7491</v>
      </c>
      <c r="Z268" s="0" t="s">
        <v>33</v>
      </c>
      <c r="AA268" s="0" t="s">
        <v>40</v>
      </c>
      <c r="AB268" s="0" t="n">
        <v>0</v>
      </c>
      <c r="AC268" s="0" t="n">
        <v>0</v>
      </c>
    </row>
    <row r="269" customFormat="false" ht="15" hidden="false" customHeight="false" outlineLevel="0" collapsed="false">
      <c r="A269" s="0" t="n">
        <v>2305</v>
      </c>
      <c r="B269" s="0" t="s">
        <v>42</v>
      </c>
      <c r="C269" s="0" t="s">
        <v>41</v>
      </c>
      <c r="D269" s="0" t="s">
        <v>54</v>
      </c>
      <c r="E269" s="0" t="s">
        <v>50</v>
      </c>
      <c r="F269" s="0" t="s">
        <v>33</v>
      </c>
      <c r="H269" s="0" t="n">
        <v>3</v>
      </c>
      <c r="I269" s="0" t="n">
        <v>3</v>
      </c>
      <c r="J269" s="0" t="n">
        <v>0</v>
      </c>
      <c r="K269" s="0" t="n">
        <v>66.96</v>
      </c>
      <c r="L269" s="0" t="n">
        <v>66.96</v>
      </c>
      <c r="M269" s="0" t="n">
        <v>0</v>
      </c>
      <c r="N269" s="0" t="n">
        <v>93245</v>
      </c>
      <c r="O269" s="0" t="n">
        <v>4</v>
      </c>
      <c r="P269" s="0" t="n">
        <v>0</v>
      </c>
      <c r="Q269" s="0" t="s">
        <v>34</v>
      </c>
      <c r="R269" s="0" t="n">
        <v>2828</v>
      </c>
      <c r="S269" s="0" t="n">
        <v>0</v>
      </c>
      <c r="T269" s="0" t="n">
        <v>1</v>
      </c>
      <c r="U269" s="0" t="n">
        <v>0</v>
      </c>
      <c r="V269" s="0" t="n">
        <v>2</v>
      </c>
      <c r="W269" s="0" t="n">
        <v>0</v>
      </c>
      <c r="X269" s="0" t="n">
        <v>0</v>
      </c>
      <c r="Z269" s="0" t="s">
        <v>34</v>
      </c>
      <c r="AA269" s="0" t="s">
        <v>37</v>
      </c>
      <c r="AB269" s="0" t="n">
        <v>0</v>
      </c>
      <c r="AC269" s="0" t="n">
        <v>0</v>
      </c>
    </row>
    <row r="270" customFormat="false" ht="15" hidden="false" customHeight="false" outlineLevel="0" collapsed="false">
      <c r="A270" s="0" t="n">
        <v>2308</v>
      </c>
      <c r="B270" s="0" t="s">
        <v>36</v>
      </c>
      <c r="C270" s="0" t="s">
        <v>46</v>
      </c>
      <c r="D270" s="0" t="s">
        <v>54</v>
      </c>
      <c r="E270" s="0" t="s">
        <v>50</v>
      </c>
      <c r="F270" s="0" t="s">
        <v>33</v>
      </c>
      <c r="H270" s="0" t="n">
        <v>7</v>
      </c>
      <c r="I270" s="0" t="n">
        <v>7</v>
      </c>
      <c r="J270" s="0" t="n">
        <v>0</v>
      </c>
      <c r="K270" s="0" t="n">
        <v>42.57</v>
      </c>
      <c r="L270" s="0" t="n">
        <v>42.57</v>
      </c>
      <c r="M270" s="0" t="n">
        <v>0</v>
      </c>
      <c r="N270" s="0" t="n">
        <v>190951</v>
      </c>
      <c r="O270" s="0" t="n">
        <v>4</v>
      </c>
      <c r="P270" s="0" t="n">
        <v>0</v>
      </c>
      <c r="Q270" s="0" t="s">
        <v>34</v>
      </c>
      <c r="R270" s="0" t="n">
        <v>2828</v>
      </c>
      <c r="S270" s="0" t="n">
        <v>0</v>
      </c>
      <c r="T270" s="0" t="n">
        <v>0</v>
      </c>
      <c r="U270" s="0" t="n">
        <v>0</v>
      </c>
      <c r="V270" s="0" t="n">
        <v>3</v>
      </c>
      <c r="W270" s="0" t="n">
        <v>0</v>
      </c>
      <c r="X270" s="0" t="n">
        <v>5</v>
      </c>
      <c r="Y270" s="0" t="n">
        <v>8953</v>
      </c>
      <c r="Z270" s="0" t="s">
        <v>33</v>
      </c>
      <c r="AA270" s="0" t="s">
        <v>40</v>
      </c>
      <c r="AB270" s="0" t="n">
        <v>0</v>
      </c>
      <c r="AC270" s="0" t="n">
        <v>0</v>
      </c>
    </row>
    <row r="271" customFormat="false" ht="15" hidden="false" customHeight="false" outlineLevel="0" collapsed="false">
      <c r="A271" s="0" t="n">
        <v>2309</v>
      </c>
      <c r="B271" s="0" t="s">
        <v>42</v>
      </c>
      <c r="C271" s="0" t="s">
        <v>47</v>
      </c>
      <c r="D271" s="0" t="s">
        <v>31</v>
      </c>
      <c r="E271" s="0" t="s">
        <v>32</v>
      </c>
      <c r="F271" s="0" t="s">
        <v>34</v>
      </c>
      <c r="G271" s="0" t="s">
        <v>53</v>
      </c>
      <c r="H271" s="0" t="n">
        <v>3</v>
      </c>
      <c r="I271" s="0" t="n">
        <v>2</v>
      </c>
      <c r="J271" s="0" t="n">
        <v>-1</v>
      </c>
      <c r="K271" s="0" t="n">
        <v>52.18</v>
      </c>
      <c r="L271" s="0" t="n">
        <v>71.1</v>
      </c>
      <c r="M271" s="0" t="n">
        <v>18.92</v>
      </c>
      <c r="N271" s="0" t="n">
        <v>49799</v>
      </c>
      <c r="O271" s="0" t="n">
        <v>1</v>
      </c>
      <c r="P271" s="0" t="n">
        <v>0</v>
      </c>
      <c r="Q271" s="0" t="s">
        <v>33</v>
      </c>
      <c r="R271" s="0" t="n">
        <v>3336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Z271" s="0" t="s">
        <v>34</v>
      </c>
      <c r="AA271" s="0" t="s">
        <v>37</v>
      </c>
      <c r="AB271" s="0" t="n">
        <v>0</v>
      </c>
      <c r="AC271" s="0" t="n">
        <v>0</v>
      </c>
    </row>
    <row r="272" customFormat="false" ht="15" hidden="false" customHeight="false" outlineLevel="0" collapsed="false">
      <c r="A272" s="0" t="n">
        <v>2310</v>
      </c>
      <c r="B272" s="0" t="s">
        <v>29</v>
      </c>
      <c r="C272" s="0" t="s">
        <v>30</v>
      </c>
      <c r="D272" s="0" t="s">
        <v>31</v>
      </c>
      <c r="E272" s="0" t="s">
        <v>32</v>
      </c>
      <c r="F272" s="0" t="s">
        <v>34</v>
      </c>
      <c r="G272" s="0" t="s">
        <v>53</v>
      </c>
      <c r="H272" s="0" t="n">
        <v>5</v>
      </c>
      <c r="I272" s="0" t="n">
        <v>5</v>
      </c>
      <c r="J272" s="0" t="n">
        <v>0</v>
      </c>
      <c r="K272" s="0" t="n">
        <v>58.63</v>
      </c>
      <c r="L272" s="0" t="n">
        <v>54.43</v>
      </c>
      <c r="M272" s="0" t="n">
        <v>-4.2</v>
      </c>
      <c r="N272" s="0" t="n">
        <v>67362</v>
      </c>
      <c r="O272" s="0" t="n">
        <v>1</v>
      </c>
      <c r="P272" s="0" t="n">
        <v>0</v>
      </c>
      <c r="Q272" s="0" t="s">
        <v>33</v>
      </c>
      <c r="R272" s="0" t="n">
        <v>3336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2</v>
      </c>
      <c r="Y272" s="0" t="n">
        <v>4616</v>
      </c>
      <c r="Z272" s="0" t="s">
        <v>33</v>
      </c>
      <c r="AA272" s="0" t="s">
        <v>40</v>
      </c>
      <c r="AB272" s="0" t="n">
        <v>0</v>
      </c>
      <c r="AC272" s="0" t="n">
        <v>0</v>
      </c>
    </row>
    <row r="273" customFormat="false" ht="15" hidden="false" customHeight="false" outlineLevel="0" collapsed="false">
      <c r="A273" s="0" t="n">
        <v>2314</v>
      </c>
      <c r="B273" s="0" t="s">
        <v>29</v>
      </c>
      <c r="C273" s="0" t="s">
        <v>47</v>
      </c>
      <c r="D273" s="0" t="s">
        <v>31</v>
      </c>
      <c r="E273" s="0" t="s">
        <v>32</v>
      </c>
      <c r="F273" s="0" t="s">
        <v>34</v>
      </c>
      <c r="G273" s="0" t="s">
        <v>53</v>
      </c>
      <c r="H273" s="0" t="n">
        <v>2</v>
      </c>
      <c r="I273" s="0" t="n">
        <v>1</v>
      </c>
      <c r="J273" s="0" t="n">
        <v>-1</v>
      </c>
      <c r="K273" s="0" t="n">
        <v>52.43</v>
      </c>
      <c r="L273" s="0" t="n">
        <v>84.7</v>
      </c>
      <c r="M273" s="0" t="n">
        <v>32.27</v>
      </c>
      <c r="N273" s="0" t="n">
        <v>49907</v>
      </c>
      <c r="O273" s="0" t="n">
        <v>1</v>
      </c>
      <c r="P273" s="0" t="n">
        <v>0</v>
      </c>
      <c r="Q273" s="0" t="s">
        <v>33</v>
      </c>
      <c r="R273" s="0" t="n">
        <v>3336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Z273" s="0" t="s">
        <v>34</v>
      </c>
      <c r="AA273" s="0" t="s">
        <v>37</v>
      </c>
      <c r="AB273" s="0" t="n">
        <v>0</v>
      </c>
      <c r="AC273" s="0" t="n">
        <v>0</v>
      </c>
    </row>
    <row r="274" customFormat="false" ht="15" hidden="false" customHeight="false" outlineLevel="0" collapsed="false">
      <c r="A274" s="0" t="n">
        <v>2315</v>
      </c>
      <c r="B274" s="0" t="s">
        <v>29</v>
      </c>
      <c r="C274" s="0" t="s">
        <v>48</v>
      </c>
      <c r="D274" s="0" t="s">
        <v>31</v>
      </c>
      <c r="E274" s="0" t="s">
        <v>32</v>
      </c>
      <c r="F274" s="0" t="s">
        <v>34</v>
      </c>
      <c r="G274" s="0" t="s">
        <v>53</v>
      </c>
      <c r="H274" s="0" t="n">
        <v>3</v>
      </c>
      <c r="I274" s="0" t="n">
        <v>1</v>
      </c>
      <c r="J274" s="0" t="n">
        <v>-2</v>
      </c>
      <c r="K274" s="0" t="n">
        <v>78.61</v>
      </c>
      <c r="L274" s="0" t="n">
        <v>76.67</v>
      </c>
      <c r="M274" s="0" t="n">
        <v>-1.94</v>
      </c>
      <c r="N274" s="0" t="n">
        <v>39513</v>
      </c>
      <c r="O274" s="0" t="n">
        <v>1</v>
      </c>
      <c r="P274" s="0" t="n">
        <v>0</v>
      </c>
      <c r="Q274" s="0" t="s">
        <v>33</v>
      </c>
      <c r="R274" s="0" t="n">
        <v>3336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Z274" s="0" t="s">
        <v>33</v>
      </c>
      <c r="AA274" s="0" t="s">
        <v>40</v>
      </c>
      <c r="AB274" s="0" t="n">
        <v>0</v>
      </c>
      <c r="AC274" s="0" t="n">
        <v>0</v>
      </c>
    </row>
    <row r="275" customFormat="false" ht="15" hidden="false" customHeight="false" outlineLevel="0" collapsed="false">
      <c r="A275" s="0" t="n">
        <v>2318</v>
      </c>
      <c r="B275" s="0" t="s">
        <v>29</v>
      </c>
      <c r="C275" s="0" t="s">
        <v>39</v>
      </c>
      <c r="D275" s="0" t="s">
        <v>31</v>
      </c>
      <c r="E275" s="0" t="s">
        <v>32</v>
      </c>
      <c r="F275" s="0" t="s">
        <v>34</v>
      </c>
      <c r="G275" s="0" t="s">
        <v>53</v>
      </c>
      <c r="H275" s="0" t="n">
        <v>2</v>
      </c>
      <c r="I275" s="0" t="n">
        <v>2</v>
      </c>
      <c r="J275" s="0" t="n">
        <v>0</v>
      </c>
      <c r="K275" s="0" t="n">
        <v>80.24</v>
      </c>
      <c r="L275" s="0" t="n">
        <v>72.33</v>
      </c>
      <c r="M275" s="0" t="n">
        <v>-7.91</v>
      </c>
      <c r="N275" s="0" t="n">
        <v>35752</v>
      </c>
      <c r="O275" s="0" t="n">
        <v>1</v>
      </c>
      <c r="P275" s="0" t="n">
        <v>0</v>
      </c>
      <c r="Q275" s="0" t="s">
        <v>33</v>
      </c>
      <c r="R275" s="0" t="n">
        <v>3336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2</v>
      </c>
      <c r="Y275" s="0" t="n">
        <v>3010</v>
      </c>
      <c r="Z275" s="0" t="s">
        <v>34</v>
      </c>
      <c r="AA275" s="0" t="s">
        <v>37</v>
      </c>
      <c r="AB275" s="0" t="n">
        <v>0</v>
      </c>
      <c r="AC275" s="0" t="n">
        <v>0</v>
      </c>
    </row>
    <row r="276" customFormat="false" ht="15" hidden="false" customHeight="false" outlineLevel="0" collapsed="false">
      <c r="A276" s="0" t="n">
        <v>2337</v>
      </c>
      <c r="B276" s="0" t="s">
        <v>42</v>
      </c>
      <c r="C276" s="0" t="s">
        <v>30</v>
      </c>
      <c r="D276" s="0" t="s">
        <v>31</v>
      </c>
      <c r="E276" s="0" t="s">
        <v>32</v>
      </c>
      <c r="F276" s="0" t="s">
        <v>34</v>
      </c>
      <c r="G276" s="0" t="s">
        <v>53</v>
      </c>
      <c r="H276" s="0" t="n">
        <v>4</v>
      </c>
      <c r="I276" s="0" t="n">
        <v>4</v>
      </c>
      <c r="J276" s="0" t="n">
        <v>0</v>
      </c>
      <c r="K276" s="0" t="n">
        <v>78.66</v>
      </c>
      <c r="L276" s="0" t="n">
        <v>74.93</v>
      </c>
      <c r="M276" s="0" t="n">
        <v>-3.73</v>
      </c>
      <c r="N276" s="0" t="n">
        <v>73399</v>
      </c>
      <c r="O276" s="0" t="n">
        <v>1</v>
      </c>
      <c r="P276" s="0" t="n">
        <v>0</v>
      </c>
      <c r="Q276" s="0" t="s">
        <v>33</v>
      </c>
      <c r="R276" s="0" t="n">
        <v>3336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4</v>
      </c>
      <c r="Y276" s="0" t="n">
        <v>3341</v>
      </c>
      <c r="Z276" s="0" t="s">
        <v>34</v>
      </c>
      <c r="AA276" s="0" t="s">
        <v>37</v>
      </c>
      <c r="AB276" s="0" t="n">
        <v>0</v>
      </c>
      <c r="AC276" s="0" t="n">
        <v>0</v>
      </c>
    </row>
    <row r="277" customFormat="false" ht="15" hidden="false" customHeight="false" outlineLevel="0" collapsed="false">
      <c r="A277" s="0" t="n">
        <v>2342</v>
      </c>
      <c r="B277" s="0" t="s">
        <v>29</v>
      </c>
      <c r="C277" s="0" t="s">
        <v>30</v>
      </c>
      <c r="D277" s="0" t="s">
        <v>31</v>
      </c>
      <c r="E277" s="0" t="s">
        <v>32</v>
      </c>
      <c r="F277" s="0" t="s">
        <v>34</v>
      </c>
      <c r="G277" s="0" t="s">
        <v>53</v>
      </c>
      <c r="H277" s="0" t="n">
        <v>12</v>
      </c>
      <c r="I277" s="0" t="n">
        <v>12</v>
      </c>
      <c r="J277" s="0" t="n">
        <v>0</v>
      </c>
      <c r="K277" s="0" t="n">
        <v>21.09</v>
      </c>
      <c r="L277" s="0" t="n">
        <v>19.73</v>
      </c>
      <c r="M277" s="0" t="n">
        <v>-1.36</v>
      </c>
      <c r="N277" s="0" t="n">
        <v>77305</v>
      </c>
      <c r="O277" s="0" t="n">
        <v>1</v>
      </c>
      <c r="P277" s="0" t="n">
        <v>0</v>
      </c>
      <c r="Q277" s="0" t="s">
        <v>33</v>
      </c>
      <c r="R277" s="0" t="n">
        <v>3336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3</v>
      </c>
      <c r="Y277" s="0" t="n">
        <v>10006</v>
      </c>
      <c r="Z277" s="0" t="s">
        <v>34</v>
      </c>
      <c r="AA277" s="0" t="s">
        <v>37</v>
      </c>
      <c r="AB277" s="0" t="n">
        <v>0</v>
      </c>
      <c r="AC277" s="0" t="n">
        <v>0</v>
      </c>
    </row>
    <row r="278" customFormat="false" ht="15" hidden="false" customHeight="false" outlineLevel="0" collapsed="false">
      <c r="A278" s="0" t="n">
        <v>2349</v>
      </c>
      <c r="B278" s="0" t="s">
        <v>36</v>
      </c>
      <c r="C278" s="0" t="s">
        <v>41</v>
      </c>
      <c r="D278" s="0" t="s">
        <v>54</v>
      </c>
      <c r="E278" s="0" t="s">
        <v>50</v>
      </c>
      <c r="F278" s="0" t="s">
        <v>33</v>
      </c>
      <c r="H278" s="0" t="n">
        <v>3</v>
      </c>
      <c r="I278" s="0" t="n">
        <v>3</v>
      </c>
      <c r="J278" s="0" t="n">
        <v>0</v>
      </c>
      <c r="K278" s="0" t="n">
        <v>42.09</v>
      </c>
      <c r="L278" s="0" t="n">
        <v>42.09</v>
      </c>
      <c r="M278" s="0" t="n">
        <v>0</v>
      </c>
      <c r="N278" s="0" t="n">
        <v>153923</v>
      </c>
      <c r="O278" s="0" t="n">
        <v>4</v>
      </c>
      <c r="P278" s="0" t="n">
        <v>0</v>
      </c>
      <c r="Q278" s="0" t="s">
        <v>34</v>
      </c>
      <c r="R278" s="0" t="n">
        <v>2828</v>
      </c>
      <c r="S278" s="0" t="n">
        <v>0</v>
      </c>
      <c r="T278" s="0" t="n">
        <v>0</v>
      </c>
      <c r="U278" s="0" t="n">
        <v>0</v>
      </c>
      <c r="V278" s="0" t="n">
        <v>3</v>
      </c>
      <c r="W278" s="0" t="n">
        <v>0</v>
      </c>
      <c r="X278" s="0" t="n">
        <v>0</v>
      </c>
      <c r="Z278" s="0" t="s">
        <v>34</v>
      </c>
      <c r="AA278" s="0" t="s">
        <v>37</v>
      </c>
      <c r="AB278" s="0" t="n">
        <v>0</v>
      </c>
      <c r="AC278" s="0" t="n">
        <v>0</v>
      </c>
    </row>
    <row r="279" customFormat="false" ht="15" hidden="false" customHeight="false" outlineLevel="0" collapsed="false">
      <c r="A279" s="0" t="n">
        <v>2350</v>
      </c>
      <c r="B279" s="0" t="s">
        <v>36</v>
      </c>
      <c r="C279" s="0" t="s">
        <v>51</v>
      </c>
      <c r="D279" s="0" t="s">
        <v>31</v>
      </c>
      <c r="E279" s="0" t="s">
        <v>32</v>
      </c>
      <c r="F279" s="0" t="s">
        <v>34</v>
      </c>
      <c r="G279" s="0" t="s">
        <v>53</v>
      </c>
      <c r="H279" s="0" t="n">
        <v>9</v>
      </c>
      <c r="I279" s="0" t="n">
        <v>5</v>
      </c>
      <c r="J279" s="0" t="n">
        <v>-4</v>
      </c>
      <c r="K279" s="0" t="n">
        <v>34.07</v>
      </c>
      <c r="L279" s="0" t="n">
        <v>35.87</v>
      </c>
      <c r="M279" s="0" t="n">
        <v>1.8</v>
      </c>
      <c r="N279" s="0" t="n">
        <v>61487</v>
      </c>
      <c r="O279" s="0" t="n">
        <v>1</v>
      </c>
      <c r="P279" s="0" t="n">
        <v>0</v>
      </c>
      <c r="Q279" s="0" t="s">
        <v>33</v>
      </c>
      <c r="R279" s="0" t="n">
        <v>3336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Z279" s="0" t="s">
        <v>33</v>
      </c>
      <c r="AA279" s="0" t="s">
        <v>40</v>
      </c>
      <c r="AB279" s="0" t="n">
        <v>0</v>
      </c>
      <c r="AC279" s="0" t="n">
        <v>0</v>
      </c>
    </row>
    <row r="280" customFormat="false" ht="15" hidden="false" customHeight="false" outlineLevel="0" collapsed="false">
      <c r="A280" s="0" t="n">
        <v>2354</v>
      </c>
      <c r="B280" s="0" t="s">
        <v>36</v>
      </c>
      <c r="C280" s="0" t="s">
        <v>46</v>
      </c>
      <c r="D280" s="0" t="s">
        <v>31</v>
      </c>
      <c r="E280" s="0" t="s">
        <v>32</v>
      </c>
      <c r="F280" s="0" t="s">
        <v>34</v>
      </c>
      <c r="G280" s="0" t="s">
        <v>53</v>
      </c>
      <c r="H280" s="0" t="n">
        <v>10</v>
      </c>
      <c r="I280" s="0" t="n">
        <v>11</v>
      </c>
      <c r="J280" s="0" t="n">
        <v>1</v>
      </c>
      <c r="K280" s="0" t="n">
        <v>27.39</v>
      </c>
      <c r="L280" s="0" t="n">
        <v>24.8</v>
      </c>
      <c r="M280" s="0" t="n">
        <v>-2.59</v>
      </c>
      <c r="N280" s="0" t="n">
        <v>125952</v>
      </c>
      <c r="O280" s="0" t="n">
        <v>1</v>
      </c>
      <c r="P280" s="0" t="n">
        <v>0</v>
      </c>
      <c r="Q280" s="0" t="s">
        <v>33</v>
      </c>
      <c r="R280" s="0" t="n">
        <v>3336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4</v>
      </c>
      <c r="Y280" s="0" t="n">
        <v>13774</v>
      </c>
      <c r="Z280" s="0" t="s">
        <v>34</v>
      </c>
      <c r="AA280" s="0" t="s">
        <v>37</v>
      </c>
      <c r="AB280" s="0" t="n">
        <v>0</v>
      </c>
      <c r="AC28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15.71"/>
    <col collapsed="false" customWidth="true" hidden="false" outlineLevel="0" max="4" min="3" style="0" width="20.71"/>
  </cols>
  <sheetData>
    <row r="1" customFormat="false" ht="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1" t="s">
        <v>57</v>
      </c>
      <c r="B2" s="1" t="s">
        <v>58</v>
      </c>
      <c r="C2" s="1" t="s">
        <v>59</v>
      </c>
    </row>
    <row r="3" customFormat="false" ht="15" hidden="false" customHeight="false" outlineLevel="0" collapsed="false">
      <c r="A3" s="0" t="s">
        <v>60</v>
      </c>
      <c r="B3" s="2" t="n">
        <f aca="false">B5/B6</f>
        <v>0.67741935483871</v>
      </c>
      <c r="C3" s="2" t="n">
        <f aca="false">C5/C6</f>
        <v>0.584229390681004</v>
      </c>
    </row>
    <row r="4" customFormat="false" ht="15" hidden="false" customHeight="false" outlineLevel="0" collapsed="false">
      <c r="A4" s="0" t="s">
        <v>61</v>
      </c>
      <c r="B4" s="3" t="n">
        <f aca="false">COUNTIF(Data_Single!Z:Z, "True")</f>
        <v>189</v>
      </c>
      <c r="C4" s="3" t="n">
        <f aca="false">COUNTIF(Data_Multi!Z:Z, "True")</f>
        <v>163</v>
      </c>
    </row>
    <row r="5" customFormat="false" ht="15" hidden="false" customHeight="false" outlineLevel="0" collapsed="false">
      <c r="A5" s="0" t="s">
        <v>62</v>
      </c>
      <c r="B5" s="3" t="n">
        <f aca="false">COUNTA(Data_Single!A:A)-1</f>
        <v>279</v>
      </c>
      <c r="C5" s="3" t="n">
        <f aca="false">COUNTA(Data_Multi!A:A)-1</f>
        <v>279</v>
      </c>
    </row>
    <row r="8" customFormat="false" ht="15" hidden="false" customHeight="false" outlineLevel="0" collapsed="false">
      <c r="A8" s="1" t="s">
        <v>63</v>
      </c>
    </row>
    <row r="9" customFormat="false" ht="15" hidden="false" customHeight="false" outlineLevel="0" collapsed="false">
      <c r="A9" s="1" t="s">
        <v>57</v>
      </c>
      <c r="B9" s="1" t="s">
        <v>64</v>
      </c>
      <c r="C9" s="1" t="s">
        <v>65</v>
      </c>
    </row>
    <row r="10" customFormat="false" ht="15" hidden="false" customHeight="false" outlineLevel="0" collapsed="false">
      <c r="A10" s="0" t="s">
        <v>66</v>
      </c>
      <c r="B10" s="4" t="n">
        <f aca="false">AVERAGE(Data_Single!N:N)/1000</f>
        <v>19.4703727598566</v>
      </c>
      <c r="C10" s="4" t="n">
        <f aca="false">AVERAGE(Data_Multi!N:N)/1000</f>
        <v>97.262329749104</v>
      </c>
    </row>
    <row r="11" customFormat="false" ht="15" hidden="false" customHeight="false" outlineLevel="0" collapsed="false">
      <c r="A11" s="0" t="s">
        <v>67</v>
      </c>
      <c r="B11" s="4" t="n">
        <f aca="false">MEDIAN(Data_Single!N:N)/1000</f>
        <v>17.551</v>
      </c>
      <c r="C11" s="4" t="n">
        <f aca="false">MEDIAN(Data_Multi!N:N)/1000</f>
        <v>80.315</v>
      </c>
    </row>
    <row r="12" customFormat="false" ht="15" hidden="false" customHeight="false" outlineLevel="0" collapsed="false">
      <c r="A12" s="0" t="s">
        <v>68</v>
      </c>
      <c r="B12" s="4" t="n">
        <f aca="false">AVERAGEIFS(Data_Single!N:N, Data_Single!D:D, "SUCCESS")/1000</f>
        <v>19.4127132352941</v>
      </c>
      <c r="C12" s="4" t="n">
        <f aca="false">AVERAGEIFS(Data_Multi!N:N, Data_Multi!D:D, "SUCCESS")/1000</f>
        <v>80.1143424657534</v>
      </c>
    </row>
    <row r="13" customFormat="false" ht="15" hidden="false" customHeight="false" outlineLevel="0" collapsed="false">
      <c r="A13" s="0" t="s">
        <v>69</v>
      </c>
      <c r="B13" s="3" t="n">
        <f aca="false">SUM(Data_Single!N:N)/1000</f>
        <v>5432.234</v>
      </c>
      <c r="C13" s="3" t="n">
        <f aca="false">SUM(Data_Multi!N:N)/1000</f>
        <v>27136.19</v>
      </c>
    </row>
    <row r="16" customFormat="false" ht="15" hidden="false" customHeight="false" outlineLevel="0" collapsed="false">
      <c r="A16" s="1" t="s">
        <v>70</v>
      </c>
    </row>
    <row r="17" customFormat="false" ht="15" hidden="false" customHeight="false" outlineLevel="0" collapsed="false">
      <c r="A17" s="1" t="s">
        <v>57</v>
      </c>
      <c r="B17" s="1" t="s">
        <v>64</v>
      </c>
      <c r="C17" s="1" t="s">
        <v>65</v>
      </c>
    </row>
    <row r="18" customFormat="false" ht="15" hidden="false" customHeight="false" outlineLevel="0" collapsed="false">
      <c r="A18" s="0" t="s">
        <v>71</v>
      </c>
      <c r="B18" s="3" t="n">
        <f aca="false">AVERAGE(Data_Single!R:R)</f>
        <v>4043.94265232975</v>
      </c>
      <c r="C18" s="3" t="n">
        <f aca="false">AVERAGE(Data_Multi!R:R)</f>
        <v>3231.98566308244</v>
      </c>
    </row>
    <row r="19" customFormat="false" ht="15" hidden="false" customHeight="false" outlineLevel="0" collapsed="false">
      <c r="A19" s="0" t="s">
        <v>72</v>
      </c>
      <c r="B19" s="3" t="n">
        <f aca="false">MEDIAN(Data_Single!R:R)</f>
        <v>4040</v>
      </c>
      <c r="C19" s="3" t="n">
        <f aca="false">MEDIAN(Data_Multi!R:R)</f>
        <v>3336</v>
      </c>
    </row>
    <row r="20" customFormat="false" ht="15" hidden="false" customHeight="false" outlineLevel="0" collapsed="false">
      <c r="A20" s="0" t="s">
        <v>73</v>
      </c>
      <c r="B20" s="3" t="n">
        <f aca="false">MAX(Data_Single!R:R)</f>
        <v>4054</v>
      </c>
      <c r="C20" s="3" t="n">
        <f aca="false">MAX(Data_Multi!R:R)</f>
        <v>3336</v>
      </c>
    </row>
    <row r="21" customFormat="false" ht="15" hidden="false" customHeight="false" outlineLevel="0" collapsed="false">
      <c r="A21" s="0" t="s">
        <v>74</v>
      </c>
      <c r="B21" s="3" t="n">
        <f aca="false">MIN(Data_Single!R:R)</f>
        <v>4024</v>
      </c>
      <c r="C21" s="3" t="n">
        <f aca="false">MIN(Data_Multi!R:R)</f>
        <v>2826</v>
      </c>
    </row>
    <row r="24" customFormat="false" ht="15" hidden="false" customHeight="false" outlineLevel="0" collapsed="false">
      <c r="A24" s="1" t="s">
        <v>75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s">
        <v>59</v>
      </c>
    </row>
    <row r="26" customFormat="false" ht="15" hidden="false" customHeight="false" outlineLevel="0" collapsed="false">
      <c r="A26" s="0" t="s">
        <v>76</v>
      </c>
      <c r="B26" s="4" t="n">
        <f aca="false">AVERAGE(Data_Single!J:J)</f>
        <v>-0.0824372759856631</v>
      </c>
      <c r="C26" s="4" t="n">
        <f aca="false">AVERAGE(Data_Multi!J:J)</f>
        <v>-0.243727598566308</v>
      </c>
    </row>
    <row r="27" customFormat="false" ht="15" hidden="false" customHeight="false" outlineLevel="0" collapsed="false">
      <c r="A27" s="0" t="s">
        <v>77</v>
      </c>
      <c r="B27" s="4" t="n">
        <f aca="false">MEDIAN(Data_Single!J:J)</f>
        <v>0</v>
      </c>
      <c r="C27" s="4" t="n">
        <f aca="false">MEDIAN(Data_Multi!J:J)</f>
        <v>0</v>
      </c>
    </row>
    <row r="28" customFormat="false" ht="15" hidden="false" customHeight="false" outlineLevel="0" collapsed="false">
      <c r="A28" s="0" t="s">
        <v>78</v>
      </c>
      <c r="B28" s="4" t="n">
        <f aca="false">MAX(Data_Single!J:J)</f>
        <v>9</v>
      </c>
      <c r="C28" s="4" t="n">
        <f aca="false">MAX(Data_Multi!J:J)</f>
        <v>4</v>
      </c>
    </row>
    <row r="29" customFormat="false" ht="15" hidden="false" customHeight="false" outlineLevel="0" collapsed="false">
      <c r="A29" s="0" t="s">
        <v>79</v>
      </c>
      <c r="B29" s="4" t="n">
        <f aca="false">MIN(Data_Single!J:J)</f>
        <v>-7</v>
      </c>
      <c r="C29" s="4" t="n">
        <f aca="false">MIN(Data_Multi!J:J)</f>
        <v>-5</v>
      </c>
    </row>
    <row r="32" customFormat="false" ht="15" hidden="false" customHeight="false" outlineLevel="0" collapsed="false">
      <c r="A32" s="1" t="s">
        <v>80</v>
      </c>
    </row>
    <row r="33" customFormat="false" ht="15" hidden="false" customHeight="false" outlineLevel="0" collapsed="false">
      <c r="A33" s="1" t="s">
        <v>57</v>
      </c>
      <c r="B33" s="1" t="s">
        <v>58</v>
      </c>
      <c r="C33" s="1" t="s">
        <v>59</v>
      </c>
    </row>
    <row r="34" customFormat="false" ht="15" hidden="false" customHeight="false" outlineLevel="0" collapsed="false">
      <c r="A34" s="0" t="s">
        <v>76</v>
      </c>
      <c r="B34" s="4" t="n">
        <f aca="false">AVERAGE(Data_Single!M:M)</f>
        <v>-1.63043010752688</v>
      </c>
      <c r="C34" s="4" t="n">
        <f aca="false">AVERAGE(Data_Multi!M:M)</f>
        <v>-1.59397849462366</v>
      </c>
    </row>
    <row r="35" customFormat="false" ht="15" hidden="false" customHeight="false" outlineLevel="0" collapsed="false">
      <c r="A35" s="0" t="s">
        <v>77</v>
      </c>
      <c r="B35" s="4" t="n">
        <f aca="false">MEDIAN(Data_Single!M:M)</f>
        <v>-1.87</v>
      </c>
      <c r="C35" s="4" t="n">
        <f aca="false">MEDIAN(Data_Multi!M:M)</f>
        <v>0</v>
      </c>
    </row>
    <row r="36" customFormat="false" ht="15" hidden="false" customHeight="false" outlineLevel="0" collapsed="false">
      <c r="A36" s="0" t="s">
        <v>78</v>
      </c>
      <c r="B36" s="4" t="n">
        <f aca="false">MAX(Data_Single!M:M)</f>
        <v>51.46</v>
      </c>
      <c r="C36" s="4" t="n">
        <f aca="false">MAX(Data_Multi!M:M)</f>
        <v>32.27</v>
      </c>
    </row>
    <row r="37" customFormat="false" ht="15" hidden="false" customHeight="false" outlineLevel="0" collapsed="false">
      <c r="A37" s="0" t="s">
        <v>79</v>
      </c>
      <c r="B37" s="4" t="n">
        <f aca="false">MIN(Data_Single!M:M)</f>
        <v>-68.39</v>
      </c>
      <c r="C37" s="4" t="n">
        <f aca="false">MIN(Data_Multi!M:M)</f>
        <v>-23.01</v>
      </c>
    </row>
    <row r="40" customFormat="false" ht="15" hidden="false" customHeight="false" outlineLevel="0" collapsed="false">
      <c r="A40" s="1" t="s">
        <v>81</v>
      </c>
    </row>
    <row r="41" customFormat="false" ht="15" hidden="false" customHeight="false" outlineLevel="0" collapsed="false">
      <c r="A41" s="1" t="s">
        <v>57</v>
      </c>
      <c r="B41" s="1" t="s">
        <v>58</v>
      </c>
      <c r="C41" s="1" t="s">
        <v>59</v>
      </c>
    </row>
    <row r="42" customFormat="false" ht="15" hidden="false" customHeight="false" outlineLevel="0" collapsed="false">
      <c r="A42" s="0" t="s">
        <v>76</v>
      </c>
      <c r="B42" s="2" t="n">
        <f aca="false">AVERAGE(Data_Single!AA:AA)</f>
        <v>0.111111111111111</v>
      </c>
      <c r="C42" s="2" t="n">
        <f aca="false">AVERAGE(Data_Multi!AA:AA)</f>
        <v>0.098159509202454</v>
      </c>
    </row>
    <row r="43" customFormat="false" ht="15" hidden="false" customHeight="false" outlineLevel="0" collapsed="false">
      <c r="A43" s="0" t="s">
        <v>77</v>
      </c>
      <c r="B43" s="2" t="n">
        <f aca="false">MEDIAN(Data_Single!AA:AA)</f>
        <v>0</v>
      </c>
      <c r="C43" s="2" t="n">
        <f aca="false">MEDIAN(Data_Multi!AA:AA)</f>
        <v>0</v>
      </c>
    </row>
    <row r="44" customFormat="false" ht="15" hidden="false" customHeight="false" outlineLevel="0" collapsed="false">
      <c r="B44" s="2"/>
      <c r="C44" s="2"/>
    </row>
    <row r="45" customFormat="false" ht="15" hidden="false" customHeight="false" outlineLevel="0" collapsed="false">
      <c r="B45" s="2"/>
      <c r="C45" s="2"/>
    </row>
    <row r="48" customFormat="false" ht="15" hidden="false" customHeight="false" outlineLevel="0" collapsed="false">
      <c r="A48" s="1" t="s">
        <v>82</v>
      </c>
    </row>
    <row r="49" customFormat="false" ht="15" hidden="false" customHeight="false" outlineLevel="0" collapsed="false">
      <c r="A49" s="1" t="s">
        <v>57</v>
      </c>
      <c r="B49" s="1" t="s">
        <v>83</v>
      </c>
      <c r="C49" s="1" t="s">
        <v>84</v>
      </c>
      <c r="D49" s="1" t="s">
        <v>85</v>
      </c>
    </row>
    <row r="50" customFormat="false" ht="15" hidden="false" customHeight="false" outlineLevel="0" collapsed="false">
      <c r="A50" s="0" t="s">
        <v>86</v>
      </c>
      <c r="B50" s="5" t="n">
        <v>9.17729395956509E-019</v>
      </c>
      <c r="C50" s="5" t="n">
        <v>1.65892547313296E-047</v>
      </c>
      <c r="D50" s="0" t="str">
        <f aca="false">IF(C50&lt;0.05, "Significant", "Not Significant")</f>
        <v>Significant</v>
      </c>
    </row>
    <row r="51" customFormat="false" ht="15" hidden="false" customHeight="false" outlineLevel="0" collapsed="false">
      <c r="A51" s="0" t="s">
        <v>87</v>
      </c>
      <c r="B51" s="5" t="n">
        <v>1.14723533687375E-026</v>
      </c>
      <c r="C51" s="5" t="n">
        <v>3.94524100347112E-048</v>
      </c>
      <c r="D51" s="0" t="str">
        <f aca="false">IF(C51&lt;0.05, "Significant", "Not Significant")</f>
        <v>Significant</v>
      </c>
    </row>
    <row r="52" customFormat="false" ht="15" hidden="false" customHeight="false" outlineLevel="0" collapsed="false">
      <c r="B52" s="5"/>
      <c r="C52" s="5"/>
    </row>
    <row r="53" customFormat="false" ht="15" hidden="false" customHeight="false" outlineLevel="0" collapsed="false">
      <c r="B53" s="5"/>
      <c r="C53" s="5"/>
    </row>
    <row r="54" customFormat="false" ht="15" hidden="false" customHeight="false" outlineLevel="0" collapsed="false">
      <c r="B54" s="5"/>
      <c r="C5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2026-09-25T04:30:03Z</dcterms:created>
  <dc:creator/>
  <dc:description/>
  <dc:language>en-US</dc:language>
  <cp:lastModifiedBy/>
  <dcterms:modified xsi:type="dcterms:W3CDTF">2026-09-25T12:32:33Z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